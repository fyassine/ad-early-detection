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Fabi\Documents\Doktorarbeit\BiomarkerDaten\Patienteneinteilung\MCI_patients\"/>
    </mc:Choice>
  </mc:AlternateContent>
  <xr:revisionPtr revIDLastSave="0" documentId="13_ncr:1_{EE8C9BD0-DBF4-4CFB-8B42-9EF8E75D2622}" xr6:coauthVersionLast="47" xr6:coauthVersionMax="47" xr10:uidLastSave="{00000000-0000-0000-0000-000000000000}"/>
  <bookViews>
    <workbookView xWindow="-120" yWindow="-120" windowWidth="29040" windowHeight="15720" activeTab="1" xr2:uid="{AE0692BF-0415-4B29-80E4-DF223359EE26}"/>
  </bookViews>
  <sheets>
    <sheet name="MCI_followupallvisits" sheetId="1" r:id="rId1"/>
    <sheet name="MCIfollowupMCIdate_filtered" sheetId="2" r:id="rId2"/>
  </sheets>
  <definedNames>
    <definedName name="_xlnm._FilterDatabase" localSheetId="1" hidden="1">MCIfollowupMCIdate_filtered!$B$1:$W$137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8" i="2" l="1"/>
  <c r="W135" i="2"/>
  <c r="W134" i="2"/>
  <c r="W133" i="2"/>
  <c r="W132" i="2"/>
  <c r="W131" i="2"/>
  <c r="W130" i="2"/>
  <c r="W129" i="2"/>
  <c r="W128" i="2"/>
  <c r="W67" i="2"/>
  <c r="W66" i="2"/>
  <c r="W65" i="2"/>
  <c r="W127" i="2"/>
  <c r="W126" i="2"/>
  <c r="W64" i="2"/>
  <c r="W63" i="2"/>
  <c r="W62" i="2"/>
  <c r="W51" i="2"/>
  <c r="W61" i="2"/>
  <c r="W125" i="2"/>
  <c r="W124" i="2"/>
  <c r="W123" i="2"/>
  <c r="W122" i="2"/>
  <c r="W60" i="2"/>
  <c r="W121" i="2"/>
  <c r="W120" i="2"/>
  <c r="W119" i="2"/>
  <c r="W118" i="2"/>
  <c r="W117" i="2"/>
  <c r="W59" i="2"/>
  <c r="W116" i="2"/>
  <c r="W115" i="2"/>
  <c r="W58" i="2"/>
  <c r="W114" i="2"/>
  <c r="W57" i="2"/>
  <c r="W113" i="2"/>
  <c r="W112" i="2"/>
  <c r="W111" i="2"/>
  <c r="W56" i="2"/>
  <c r="W55" i="2"/>
  <c r="W6" i="2"/>
  <c r="W54" i="2"/>
  <c r="W110" i="2"/>
  <c r="W52" i="2"/>
  <c r="W109" i="2"/>
  <c r="W53" i="2"/>
  <c r="W108" i="2"/>
  <c r="W107" i="2"/>
  <c r="W106" i="2"/>
  <c r="W87" i="2"/>
  <c r="W50" i="2"/>
  <c r="W137" i="2"/>
  <c r="W49" i="2"/>
  <c r="W48" i="2"/>
  <c r="W105" i="2"/>
  <c r="W47" i="2"/>
  <c r="W37" i="2"/>
  <c r="W104" i="2"/>
  <c r="W103" i="2"/>
  <c r="W102" i="2"/>
  <c r="W101" i="2"/>
  <c r="W46" i="2"/>
  <c r="W100" i="2"/>
  <c r="W99" i="2"/>
  <c r="W45" i="2"/>
  <c r="W98" i="2"/>
  <c r="W38" i="2"/>
  <c r="W97" i="2"/>
  <c r="W96" i="2"/>
  <c r="W44" i="2"/>
  <c r="W95" i="2"/>
  <c r="W94" i="2"/>
  <c r="W43" i="2"/>
  <c r="W93" i="2"/>
  <c r="W42" i="2"/>
  <c r="W92" i="2"/>
  <c r="W41" i="2"/>
  <c r="W91" i="2"/>
  <c r="W90" i="2"/>
  <c r="W40" i="2"/>
  <c r="W5" i="2"/>
  <c r="W89" i="2"/>
  <c r="W39" i="2"/>
  <c r="W88" i="2"/>
  <c r="W36" i="2"/>
  <c r="W86" i="2"/>
  <c r="W85" i="2"/>
  <c r="W35" i="2"/>
  <c r="W34" i="2"/>
  <c r="W33" i="2"/>
  <c r="W84" i="2"/>
  <c r="W83" i="2"/>
  <c r="W82" i="2"/>
  <c r="W81" i="2"/>
  <c r="W32" i="2"/>
  <c r="W80" i="2"/>
  <c r="W31" i="2"/>
  <c r="W74" i="2"/>
  <c r="W30" i="2"/>
  <c r="W79" i="2"/>
  <c r="W76" i="2"/>
  <c r="W78" i="2"/>
  <c r="W29" i="2"/>
  <c r="W75" i="2"/>
  <c r="W28" i="2"/>
  <c r="W27" i="2"/>
  <c r="W26" i="2"/>
  <c r="W77" i="2"/>
  <c r="W4" i="2"/>
  <c r="W25" i="2"/>
  <c r="W73" i="2"/>
  <c r="W72" i="2"/>
  <c r="W24" i="2"/>
  <c r="W23" i="2"/>
  <c r="W22" i="2"/>
  <c r="W21" i="2"/>
  <c r="W20" i="2"/>
  <c r="W19" i="2"/>
  <c r="W18" i="2"/>
  <c r="W71" i="2"/>
  <c r="W17" i="2"/>
  <c r="W16" i="2"/>
  <c r="W12" i="2"/>
  <c r="W15" i="2"/>
  <c r="W70" i="2"/>
  <c r="W14" i="2"/>
  <c r="W11" i="2"/>
  <c r="W13" i="2"/>
  <c r="W69" i="2"/>
  <c r="W3" i="2"/>
  <c r="W10" i="2"/>
  <c r="W2" i="2"/>
  <c r="W9" i="2"/>
  <c r="W8" i="2"/>
  <c r="W7" i="2"/>
</calcChain>
</file>

<file path=xl/sharedStrings.xml><?xml version="1.0" encoding="utf-8"?>
<sst xmlns="http://schemas.openxmlformats.org/spreadsheetml/2006/main" count="892" uniqueCount="163">
  <si>
    <t>MCI_followup</t>
  </si>
  <si>
    <t>Pseudonym</t>
  </si>
  <si>
    <t>visdat</t>
  </si>
  <si>
    <t>cdrtot</t>
  </si>
  <si>
    <t>cdrglobal</t>
  </si>
  <si>
    <t>mmse</t>
  </si>
  <si>
    <t>Aß38 (pg/ml)</t>
  </si>
  <si>
    <t>Aß38 CV</t>
  </si>
  <si>
    <t>Aß40 (pg/ml)</t>
  </si>
  <si>
    <t>Aß40 CV</t>
  </si>
  <si>
    <t>Aß42 (pg/ml)</t>
  </si>
  <si>
    <t>Aß42 CV</t>
  </si>
  <si>
    <t>t-tau (pg/ml)</t>
  </si>
  <si>
    <t>t-tau CV</t>
  </si>
  <si>
    <t>p-tau-181 (pg/ml)</t>
  </si>
  <si>
    <t>p-tau-181 CV</t>
  </si>
  <si>
    <t>Aß42/40</t>
  </si>
  <si>
    <t>Aß42/p-tau-181</t>
  </si>
  <si>
    <t>ND_Assay</t>
  </si>
  <si>
    <t>MCI_untilApril24</t>
  </si>
  <si>
    <t>MCIDate_untilApril24</t>
  </si>
  <si>
    <t>MCITime_untilApril24</t>
  </si>
  <si>
    <t>02a50f215</t>
  </si>
  <si>
    <t/>
  </si>
  <si>
    <t>043ba1305</t>
  </si>
  <si>
    <t>07e48dffa</t>
  </si>
  <si>
    <t>0a61339db</t>
  </si>
  <si>
    <t>0a71a953d</t>
  </si>
  <si>
    <t>140172168</t>
  </si>
  <si>
    <t>144266dae</t>
  </si>
  <si>
    <t>1488f85ad</t>
  </si>
  <si>
    <t>.</t>
  </si>
  <si>
    <t>178661afd</t>
  </si>
  <si>
    <t>1ad67792f</t>
  </si>
  <si>
    <t>1b447d8af</t>
  </si>
  <si>
    <t>1bf0517b1</t>
  </si>
  <si>
    <t>1c4220ec7</t>
  </si>
  <si>
    <t>1f8d807ca</t>
  </si>
  <si>
    <t>1fab17572</t>
  </si>
  <si>
    <t>1feef8372</t>
  </si>
  <si>
    <t>200ff5ec4</t>
  </si>
  <si>
    <t>204f06b00</t>
  </si>
  <si>
    <t>20b7a0c0d</t>
  </si>
  <si>
    <t>20ffb4dd8</t>
  </si>
  <si>
    <t>23476b97a</t>
  </si>
  <si>
    <t>27044a887</t>
  </si>
  <si>
    <t>279a609fa</t>
  </si>
  <si>
    <t>29b8c2c8a</t>
  </si>
  <si>
    <t>2d3e5ed79</t>
  </si>
  <si>
    <t>2d6cec24d</t>
  </si>
  <si>
    <t>2ec63dcae</t>
  </si>
  <si>
    <t>3007200ab</t>
  </si>
  <si>
    <t>34d0f4d48</t>
  </si>
  <si>
    <t>3761a4b61</t>
  </si>
  <si>
    <t>3b14ce122</t>
  </si>
  <si>
    <t>3bf21dafc</t>
  </si>
  <si>
    <t>3d0f5ce2b</t>
  </si>
  <si>
    <t>3d6e27a4b</t>
  </si>
  <si>
    <t>3e1a36b3c</t>
  </si>
  <si>
    <t>40feb97f6</t>
  </si>
  <si>
    <t>41cdab01d</t>
  </si>
  <si>
    <t>4210b3c88</t>
  </si>
  <si>
    <t>4359a0c41</t>
  </si>
  <si>
    <t>46e288731</t>
  </si>
  <si>
    <t>47da86d5c</t>
  </si>
  <si>
    <t>49cfc102f</t>
  </si>
  <si>
    <t>4a51b3de1</t>
  </si>
  <si>
    <t>4e0c4dfae</t>
  </si>
  <si>
    <t>4f7d19863</t>
  </si>
  <si>
    <t>503be410d</t>
  </si>
  <si>
    <t>5336ff540</t>
  </si>
  <si>
    <t>5759da909</t>
  </si>
  <si>
    <t>5b24624c7</t>
  </si>
  <si>
    <t>5e7ef3345</t>
  </si>
  <si>
    <t>5f37807ae</t>
  </si>
  <si>
    <t>60087d2cb</t>
  </si>
  <si>
    <t>63648cdd8</t>
  </si>
  <si>
    <t>64a6bb6db</t>
  </si>
  <si>
    <t>661b950b8</t>
  </si>
  <si>
    <t>66b166f3a</t>
  </si>
  <si>
    <t>6c06ac657</t>
  </si>
  <si>
    <t>6d517ce97</t>
  </si>
  <si>
    <t>6d971bbc9</t>
  </si>
  <si>
    <t>6e407549f</t>
  </si>
  <si>
    <t>71f7c3a00</t>
  </si>
  <si>
    <t>720ccda20</t>
  </si>
  <si>
    <t>724dc3f85</t>
  </si>
  <si>
    <t>7a3350a22</t>
  </si>
  <si>
    <t>7af68aeaf</t>
  </si>
  <si>
    <t>8045f1d87</t>
  </si>
  <si>
    <t>809d61215</t>
  </si>
  <si>
    <t>87ffdb49f</t>
  </si>
  <si>
    <t>881977bc8</t>
  </si>
  <si>
    <t>88571e8a9</t>
  </si>
  <si>
    <t>88dc4a57d</t>
  </si>
  <si>
    <t>8a5839660</t>
  </si>
  <si>
    <t>8c0d47cbb</t>
  </si>
  <si>
    <t>9017e3b68</t>
  </si>
  <si>
    <t>933ac55af</t>
  </si>
  <si>
    <t>93f563391</t>
  </si>
  <si>
    <t>9445854de</t>
  </si>
  <si>
    <t>95043608d</t>
  </si>
  <si>
    <t>9724a842b</t>
  </si>
  <si>
    <t>97beef830</t>
  </si>
  <si>
    <t>9ec984dd4</t>
  </si>
  <si>
    <t>a092a7bfa</t>
  </si>
  <si>
    <t>a5dee7bbe</t>
  </si>
  <si>
    <t>a8937ab2e</t>
  </si>
  <si>
    <t>a8aa331e9</t>
  </si>
  <si>
    <t>aeac24d86</t>
  </si>
  <si>
    <t>b2cc7cce8</t>
  </si>
  <si>
    <t>b2f42b7ff</t>
  </si>
  <si>
    <t>b40c1e4be</t>
  </si>
  <si>
    <t>b85fa5b49</t>
  </si>
  <si>
    <t>b9b0afb9d</t>
  </si>
  <si>
    <t>bb918dc6f</t>
  </si>
  <si>
    <t>bd583bc99</t>
  </si>
  <si>
    <t>bdc78dd72</t>
  </si>
  <si>
    <t>be658a955</t>
  </si>
  <si>
    <t>c05ee2fa2</t>
  </si>
  <si>
    <t>c07390c3b</t>
  </si>
  <si>
    <t>c13fa705c</t>
  </si>
  <si>
    <t>c47f382f8</t>
  </si>
  <si>
    <t>c4f20ef75</t>
  </si>
  <si>
    <t>c5696efc3</t>
  </si>
  <si>
    <t>c905714c7</t>
  </si>
  <si>
    <t>cced946e8</t>
  </si>
  <si>
    <t>ce8680a84</t>
  </si>
  <si>
    <t>d06988f42</t>
  </si>
  <si>
    <t>d10c9127a</t>
  </si>
  <si>
    <t>d277a4bf3</t>
  </si>
  <si>
    <t>d4b156e5a</t>
  </si>
  <si>
    <t>d514d6473</t>
  </si>
  <si>
    <t>d7f5479f6</t>
  </si>
  <si>
    <t>d82d8429a</t>
  </si>
  <si>
    <t>dbccffba8</t>
  </si>
  <si>
    <t>dbd62cd9f</t>
  </si>
  <si>
    <t>dca63a3ab</t>
  </si>
  <si>
    <t>e0437d602</t>
  </si>
  <si>
    <t>e43f9c4e4</t>
  </si>
  <si>
    <t>e49cecc8c</t>
  </si>
  <si>
    <t>eb876fa40</t>
  </si>
  <si>
    <t>ed41db601</t>
  </si>
  <si>
    <t>f173e2e9b</t>
  </si>
  <si>
    <t>f2384a356</t>
  </si>
  <si>
    <t>f30441648</t>
  </si>
  <si>
    <t>f6b6a2f7f</t>
  </si>
  <si>
    <t>f73060de1</t>
  </si>
  <si>
    <t>f85559075</t>
  </si>
  <si>
    <t>f92a0a035</t>
  </si>
  <si>
    <t>fc2301378</t>
  </si>
  <si>
    <t>fcb64766d</t>
  </si>
  <si>
    <t>fd03545cc</t>
  </si>
  <si>
    <t>fd0a4ba8a</t>
  </si>
  <si>
    <t>fd0c95050</t>
  </si>
  <si>
    <t>fda439fe0</t>
  </si>
  <si>
    <t>fda5c6f6e</t>
  </si>
  <si>
    <t>fe7f5ff9a</t>
  </si>
  <si>
    <t>ff41e4698</t>
  </si>
  <si>
    <t>ff9236c78</t>
  </si>
  <si>
    <t>ffa620116</t>
  </si>
  <si>
    <t>fff6c90a3</t>
  </si>
  <si>
    <t>mcidate-visdat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</si>
</sst>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5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14" fontId="0" fillId="0" borderId="0" xfId="0" applyNumberFormat="1"/>
    <xf numFmtId="2" fontId="0" fillId="0" borderId="0" xfId="0" applyNumberFormat="1"/>
    <xf numFmtId="2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49" fontId="0" fillId="0" borderId="0" xfId="0" applyNumberFormat="1" applyFill="1" applyBorder="1"/>
    <xf numFmtId="0" fontId="0" fillId="2" borderId="0" xfId="0" applyFill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2C9AA-22F2-42F3-926D-48B3EFCF05E4}">
  <sheetPr codeName="Tabelle1"/>
  <dimension ref="A1:V683"/>
  <sheetViews>
    <sheetView topLeftCell="A649" workbookViewId="0">
      <selection sqref="A1:V683"/>
    </sheetView>
  </sheetViews>
  <sheetFormatPr baseColWidth="10" defaultRowHeight="15" x14ac:dyDescent="0.25"/>
  <cols>
    <col min="1" max="1" width="12.7109375" customWidth="1"/>
  </cols>
  <sheetData>
    <row r="1" spans="1:22" x14ac:dyDescent="0.25">
      <c r="A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3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5" t="s">
        <v>18</v>
      </c>
      <c r="T1" s="1" t="s">
        <v>19</v>
      </c>
      <c r="U1" s="1" t="s">
        <v>20</v>
      </c>
      <c r="V1" s="1" t="s">
        <v>21</v>
      </c>
    </row>
    <row r="2" spans="1:22" x14ac:dyDescent="0.25">
      <c r="B2" s="1" t="s">
        <v>22</v>
      </c>
      <c r="C2" s="2">
        <v>43067</v>
      </c>
      <c r="D2">
        <v>0</v>
      </c>
      <c r="E2">
        <v>0</v>
      </c>
      <c r="F2" s="3">
        <v>27</v>
      </c>
      <c r="H2" s="1"/>
      <c r="I2" s="1" t="s">
        <v>23</v>
      </c>
      <c r="J2" s="1"/>
      <c r="K2" s="1" t="s">
        <v>23</v>
      </c>
      <c r="L2" s="1"/>
      <c r="T2">
        <v>1</v>
      </c>
      <c r="U2" s="2">
        <v>45104</v>
      </c>
      <c r="V2">
        <v>6.9568788501026697</v>
      </c>
    </row>
    <row r="3" spans="1:22" x14ac:dyDescent="0.25">
      <c r="B3" s="1" t="s">
        <v>22</v>
      </c>
      <c r="C3" s="2">
        <v>43668</v>
      </c>
      <c r="D3">
        <v>0</v>
      </c>
      <c r="E3">
        <v>0</v>
      </c>
      <c r="F3" s="3">
        <v>30</v>
      </c>
      <c r="T3">
        <v>1</v>
      </c>
      <c r="U3" s="2">
        <v>45104</v>
      </c>
      <c r="V3">
        <v>6.9568788501026697</v>
      </c>
    </row>
    <row r="4" spans="1:22" x14ac:dyDescent="0.25">
      <c r="B4" s="1" t="s">
        <v>22</v>
      </c>
      <c r="C4" s="2">
        <v>45104</v>
      </c>
      <c r="D4">
        <v>0</v>
      </c>
      <c r="E4">
        <v>0</v>
      </c>
      <c r="F4" s="3">
        <v>27</v>
      </c>
      <c r="T4">
        <v>1</v>
      </c>
      <c r="U4" s="2">
        <v>45104</v>
      </c>
      <c r="V4">
        <v>6.9568788501026697</v>
      </c>
    </row>
    <row r="5" spans="1:22" x14ac:dyDescent="0.25">
      <c r="B5" s="1" t="s">
        <v>24</v>
      </c>
      <c r="C5" s="2">
        <v>43451</v>
      </c>
      <c r="D5">
        <v>2.5</v>
      </c>
      <c r="E5">
        <v>0.5</v>
      </c>
      <c r="F5" s="3">
        <v>26</v>
      </c>
      <c r="T5">
        <v>1</v>
      </c>
      <c r="U5" s="2">
        <v>43451</v>
      </c>
      <c r="V5">
        <v>1.0321697467488</v>
      </c>
    </row>
    <row r="6" spans="1:22" x14ac:dyDescent="0.25">
      <c r="B6" s="1" t="s">
        <v>25</v>
      </c>
      <c r="C6" s="2">
        <v>42410</v>
      </c>
      <c r="D6">
        <v>0</v>
      </c>
      <c r="E6">
        <v>0</v>
      </c>
      <c r="F6" s="3">
        <v>29</v>
      </c>
      <c r="T6">
        <v>1</v>
      </c>
      <c r="U6" s="2">
        <v>43584</v>
      </c>
      <c r="V6">
        <v>4.3066392881587996</v>
      </c>
    </row>
    <row r="7" spans="1:22" x14ac:dyDescent="0.25">
      <c r="B7" s="1" t="s">
        <v>25</v>
      </c>
      <c r="C7" s="2">
        <v>42747</v>
      </c>
      <c r="D7">
        <v>0</v>
      </c>
      <c r="E7">
        <v>0</v>
      </c>
      <c r="F7" s="3">
        <v>28</v>
      </c>
      <c r="T7">
        <v>1</v>
      </c>
      <c r="U7" s="2">
        <v>43584</v>
      </c>
      <c r="V7">
        <v>4.3066392881587996</v>
      </c>
    </row>
    <row r="8" spans="1:22" x14ac:dyDescent="0.25">
      <c r="B8" s="1" t="s">
        <v>25</v>
      </c>
      <c r="C8" s="2">
        <v>43129</v>
      </c>
      <c r="D8">
        <v>0</v>
      </c>
      <c r="E8">
        <v>0</v>
      </c>
      <c r="F8" s="3">
        <v>29</v>
      </c>
      <c r="T8">
        <v>1</v>
      </c>
      <c r="U8" s="2">
        <v>43584</v>
      </c>
      <c r="V8">
        <v>4.3066392881587996</v>
      </c>
    </row>
    <row r="9" spans="1:22" x14ac:dyDescent="0.25">
      <c r="B9" s="1" t="s">
        <v>25</v>
      </c>
      <c r="C9" s="2">
        <v>43584</v>
      </c>
      <c r="D9">
        <v>0</v>
      </c>
      <c r="E9">
        <v>0</v>
      </c>
      <c r="F9" s="3">
        <v>30</v>
      </c>
      <c r="T9">
        <v>1</v>
      </c>
      <c r="U9" s="2">
        <v>43584</v>
      </c>
      <c r="V9">
        <v>4.3066392881587996</v>
      </c>
    </row>
    <row r="10" spans="1:22" x14ac:dyDescent="0.25">
      <c r="B10" s="1" t="s">
        <v>25</v>
      </c>
      <c r="C10" s="2">
        <v>43977</v>
      </c>
      <c r="D10">
        <v>2</v>
      </c>
      <c r="E10">
        <v>0.5</v>
      </c>
      <c r="F10" s="3"/>
      <c r="T10">
        <v>1</v>
      </c>
      <c r="U10" s="2">
        <v>43584</v>
      </c>
      <c r="V10">
        <v>4.3066392881587996</v>
      </c>
    </row>
    <row r="11" spans="1:22" x14ac:dyDescent="0.25">
      <c r="B11" s="1" t="s">
        <v>25</v>
      </c>
      <c r="C11" s="2">
        <v>44067</v>
      </c>
      <c r="D11">
        <v>8</v>
      </c>
      <c r="E11">
        <v>1</v>
      </c>
      <c r="F11" s="3">
        <v>23</v>
      </c>
      <c r="T11">
        <v>1</v>
      </c>
      <c r="U11" s="2">
        <v>43584</v>
      </c>
      <c r="V11">
        <v>4.3066392881587996</v>
      </c>
    </row>
    <row r="12" spans="1:22" x14ac:dyDescent="0.25">
      <c r="B12" s="1" t="s">
        <v>26</v>
      </c>
      <c r="C12" s="2">
        <v>42494</v>
      </c>
      <c r="D12">
        <v>0</v>
      </c>
      <c r="E12">
        <v>0</v>
      </c>
      <c r="F12" s="3">
        <v>30</v>
      </c>
      <c r="T12">
        <v>1</v>
      </c>
      <c r="U12" s="2">
        <v>43234</v>
      </c>
      <c r="V12">
        <v>3.0034223134839202</v>
      </c>
    </row>
    <row r="13" spans="1:22" x14ac:dyDescent="0.25">
      <c r="B13" s="1" t="s">
        <v>26</v>
      </c>
      <c r="C13" s="2">
        <v>42879</v>
      </c>
      <c r="D13">
        <v>0</v>
      </c>
      <c r="E13">
        <v>0</v>
      </c>
      <c r="F13" s="3">
        <v>30</v>
      </c>
      <c r="T13">
        <v>1</v>
      </c>
      <c r="U13" s="2">
        <v>43234</v>
      </c>
      <c r="V13">
        <v>3.0034223134839202</v>
      </c>
    </row>
    <row r="14" spans="1:22" x14ac:dyDescent="0.25">
      <c r="B14" s="1" t="s">
        <v>26</v>
      </c>
      <c r="C14" s="2">
        <v>43234</v>
      </c>
      <c r="D14">
        <v>0</v>
      </c>
      <c r="E14">
        <v>0</v>
      </c>
      <c r="F14" s="3">
        <v>30</v>
      </c>
      <c r="T14">
        <v>1</v>
      </c>
      <c r="U14" s="2">
        <v>43234</v>
      </c>
      <c r="V14">
        <v>3.0034223134839202</v>
      </c>
    </row>
    <row r="15" spans="1:22" x14ac:dyDescent="0.25">
      <c r="B15" s="1" t="s">
        <v>26</v>
      </c>
      <c r="C15" s="2">
        <v>43619</v>
      </c>
      <c r="D15">
        <v>0</v>
      </c>
      <c r="E15">
        <v>0</v>
      </c>
      <c r="F15" s="3">
        <v>30</v>
      </c>
      <c r="T15">
        <v>1</v>
      </c>
      <c r="U15" s="2">
        <v>43234</v>
      </c>
      <c r="V15">
        <v>3.0034223134839202</v>
      </c>
    </row>
    <row r="16" spans="1:22" x14ac:dyDescent="0.25">
      <c r="B16" s="1" t="s">
        <v>26</v>
      </c>
      <c r="C16" s="2">
        <v>43964</v>
      </c>
      <c r="D16">
        <v>0</v>
      </c>
      <c r="E16">
        <v>0</v>
      </c>
      <c r="F16" s="3"/>
      <c r="T16">
        <v>1</v>
      </c>
      <c r="U16" s="2">
        <v>43234</v>
      </c>
      <c r="V16">
        <v>3.0034223134839202</v>
      </c>
    </row>
    <row r="17" spans="2:22" x14ac:dyDescent="0.25">
      <c r="B17" s="1" t="s">
        <v>26</v>
      </c>
      <c r="C17" s="2">
        <v>44004</v>
      </c>
      <c r="D17">
        <v>0</v>
      </c>
      <c r="E17">
        <v>0</v>
      </c>
      <c r="F17" s="3">
        <v>30</v>
      </c>
      <c r="T17">
        <v>1</v>
      </c>
      <c r="U17" s="2">
        <v>43234</v>
      </c>
      <c r="V17">
        <v>3.0034223134839202</v>
      </c>
    </row>
    <row r="18" spans="2:22" x14ac:dyDescent="0.25">
      <c r="B18" s="1" t="s">
        <v>26</v>
      </c>
      <c r="C18" s="2">
        <v>44326</v>
      </c>
      <c r="D18">
        <v>0.5</v>
      </c>
      <c r="E18">
        <v>0.5</v>
      </c>
      <c r="F18" s="3">
        <v>30</v>
      </c>
      <c r="T18">
        <v>1</v>
      </c>
      <c r="U18" s="2">
        <v>43234</v>
      </c>
      <c r="V18">
        <v>3.0034223134839202</v>
      </c>
    </row>
    <row r="19" spans="2:22" x14ac:dyDescent="0.25">
      <c r="B19" s="1" t="s">
        <v>26</v>
      </c>
      <c r="C19" s="2">
        <v>44711</v>
      </c>
      <c r="D19">
        <v>0.5</v>
      </c>
      <c r="E19">
        <v>0.5</v>
      </c>
      <c r="F19" s="3">
        <v>30</v>
      </c>
      <c r="T19">
        <v>1</v>
      </c>
      <c r="U19" s="2">
        <v>43234</v>
      </c>
      <c r="V19">
        <v>3.0034223134839202</v>
      </c>
    </row>
    <row r="20" spans="2:22" x14ac:dyDescent="0.25">
      <c r="B20" s="1" t="s">
        <v>27</v>
      </c>
      <c r="C20" s="2">
        <v>42443</v>
      </c>
      <c r="D20">
        <v>0.5</v>
      </c>
      <c r="E20">
        <v>0.5</v>
      </c>
      <c r="F20" s="3">
        <v>30</v>
      </c>
      <c r="T20">
        <v>1</v>
      </c>
      <c r="U20" s="2">
        <v>43165</v>
      </c>
      <c r="V20">
        <v>2.9349760438056101</v>
      </c>
    </row>
    <row r="21" spans="2:22" x14ac:dyDescent="0.25">
      <c r="B21" s="1" t="s">
        <v>27</v>
      </c>
      <c r="C21" s="2">
        <v>42822</v>
      </c>
      <c r="D21">
        <v>0.5</v>
      </c>
      <c r="E21">
        <v>0.5</v>
      </c>
      <c r="F21" s="3">
        <v>28</v>
      </c>
      <c r="T21">
        <v>1</v>
      </c>
      <c r="U21" s="2">
        <v>43165</v>
      </c>
      <c r="V21">
        <v>2.9349760438056101</v>
      </c>
    </row>
    <row r="22" spans="2:22" x14ac:dyDescent="0.25">
      <c r="B22" s="1" t="s">
        <v>27</v>
      </c>
      <c r="C22" s="2">
        <v>43165</v>
      </c>
      <c r="D22">
        <v>2</v>
      </c>
      <c r="E22">
        <v>0.5</v>
      </c>
      <c r="F22" s="3">
        <v>29</v>
      </c>
      <c r="G22">
        <v>4421.8819069336796</v>
      </c>
      <c r="H22">
        <v>2.1132806881255899</v>
      </c>
      <c r="I22">
        <v>10113.4756757982</v>
      </c>
      <c r="J22">
        <v>4.2980314833342996</v>
      </c>
      <c r="K22">
        <v>655.74544035695305</v>
      </c>
      <c r="L22">
        <v>1.30496472798651</v>
      </c>
      <c r="M22">
        <v>637.35152900909702</v>
      </c>
      <c r="N22">
        <v>10.553511148755</v>
      </c>
      <c r="O22">
        <v>122.38</v>
      </c>
      <c r="P22">
        <v>1.7981</v>
      </c>
      <c r="Q22">
        <v>6.483878157992394E-2</v>
      </c>
      <c r="R22">
        <v>5.3582729233285917</v>
      </c>
      <c r="S22">
        <v>0</v>
      </c>
      <c r="T22">
        <v>1</v>
      </c>
      <c r="U22" s="2">
        <v>43165</v>
      </c>
      <c r="V22">
        <v>2.9349760438056101</v>
      </c>
    </row>
    <row r="23" spans="2:22" x14ac:dyDescent="0.25">
      <c r="B23" s="1" t="s">
        <v>27</v>
      </c>
      <c r="C23" s="2">
        <v>43538</v>
      </c>
      <c r="D23">
        <v>0.5</v>
      </c>
      <c r="E23">
        <v>0.5</v>
      </c>
      <c r="F23" s="3">
        <v>30</v>
      </c>
      <c r="T23">
        <v>1</v>
      </c>
      <c r="U23" s="2">
        <v>43165</v>
      </c>
      <c r="V23">
        <v>2.9349760438056101</v>
      </c>
    </row>
    <row r="24" spans="2:22" x14ac:dyDescent="0.25">
      <c r="B24" s="1" t="s">
        <v>27</v>
      </c>
      <c r="C24" s="2">
        <v>43895</v>
      </c>
      <c r="D24">
        <v>2.5</v>
      </c>
      <c r="E24">
        <v>0.5</v>
      </c>
      <c r="F24" s="3">
        <v>28</v>
      </c>
      <c r="T24">
        <v>1</v>
      </c>
      <c r="U24" s="2">
        <v>43165</v>
      </c>
      <c r="V24">
        <v>2.9349760438056101</v>
      </c>
    </row>
    <row r="25" spans="2:22" x14ac:dyDescent="0.25">
      <c r="B25" s="1" t="s">
        <v>27</v>
      </c>
      <c r="C25" s="2">
        <v>44280</v>
      </c>
      <c r="D25">
        <v>2.5</v>
      </c>
      <c r="E25">
        <v>0.5</v>
      </c>
      <c r="F25" s="3">
        <v>30</v>
      </c>
      <c r="T25">
        <v>1</v>
      </c>
      <c r="U25" s="2">
        <v>43165</v>
      </c>
      <c r="V25">
        <v>2.9349760438056101</v>
      </c>
    </row>
    <row r="26" spans="2:22" x14ac:dyDescent="0.25">
      <c r="B26" s="1" t="s">
        <v>28</v>
      </c>
      <c r="C26" s="2">
        <v>43537</v>
      </c>
      <c r="D26">
        <v>1</v>
      </c>
      <c r="E26">
        <v>0.5</v>
      </c>
      <c r="F26" s="3">
        <v>28</v>
      </c>
      <c r="T26">
        <v>1</v>
      </c>
      <c r="U26" s="2">
        <v>44298</v>
      </c>
      <c r="V26">
        <v>3.0691307323750898</v>
      </c>
    </row>
    <row r="27" spans="2:22" x14ac:dyDescent="0.25">
      <c r="B27" s="1" t="s">
        <v>28</v>
      </c>
      <c r="C27" s="2">
        <v>43895</v>
      </c>
      <c r="D27">
        <v>0.5</v>
      </c>
      <c r="E27">
        <v>0.5</v>
      </c>
      <c r="F27" s="3">
        <v>29</v>
      </c>
      <c r="G27">
        <v>2685.30594210872</v>
      </c>
      <c r="H27">
        <v>0.94049714468636603</v>
      </c>
      <c r="I27">
        <v>8492.2504865036208</v>
      </c>
      <c r="J27">
        <v>2.0047550502296301</v>
      </c>
      <c r="K27">
        <v>983.31605043190598</v>
      </c>
      <c r="L27">
        <v>0.87619000534069402</v>
      </c>
      <c r="M27">
        <v>410.39768329931502</v>
      </c>
      <c r="N27">
        <v>1.1968860275655899</v>
      </c>
      <c r="O27">
        <v>49.710999999999999</v>
      </c>
      <c r="P27">
        <v>5.9996000000000001E-2</v>
      </c>
      <c r="Q27">
        <v>0.1157898076598952</v>
      </c>
      <c r="R27">
        <v>19.780653184041881</v>
      </c>
      <c r="S27">
        <v>0</v>
      </c>
      <c r="T27">
        <v>1</v>
      </c>
      <c r="U27" s="2">
        <v>44298</v>
      </c>
      <c r="V27">
        <v>3.0691307323750898</v>
      </c>
    </row>
    <row r="28" spans="2:22" x14ac:dyDescent="0.25">
      <c r="B28" s="1" t="s">
        <v>28</v>
      </c>
      <c r="C28" s="2">
        <v>44298</v>
      </c>
      <c r="D28">
        <v>0</v>
      </c>
      <c r="E28">
        <v>0</v>
      </c>
      <c r="F28" s="3">
        <v>30</v>
      </c>
      <c r="T28">
        <v>1</v>
      </c>
      <c r="U28" s="2">
        <v>44298</v>
      </c>
      <c r="V28">
        <v>3.0691307323750898</v>
      </c>
    </row>
    <row r="29" spans="2:22" x14ac:dyDescent="0.25">
      <c r="B29" s="1" t="s">
        <v>28</v>
      </c>
      <c r="C29" s="2">
        <v>44706</v>
      </c>
      <c r="D29">
        <v>0</v>
      </c>
      <c r="E29">
        <v>0</v>
      </c>
      <c r="F29" s="3">
        <v>30</v>
      </c>
      <c r="I29">
        <v>9741</v>
      </c>
      <c r="K29">
        <v>927</v>
      </c>
      <c r="M29">
        <v>260</v>
      </c>
      <c r="O29">
        <v>35</v>
      </c>
      <c r="Q29">
        <v>9.5164767477671691E-2</v>
      </c>
      <c r="R29">
        <v>26.485714285714284</v>
      </c>
      <c r="S29">
        <v>1</v>
      </c>
      <c r="T29">
        <v>1</v>
      </c>
      <c r="U29" s="2">
        <v>44298</v>
      </c>
      <c r="V29">
        <v>3.0691307323750898</v>
      </c>
    </row>
    <row r="30" spans="2:22" x14ac:dyDescent="0.25">
      <c r="B30" s="1" t="s">
        <v>28</v>
      </c>
      <c r="C30" s="2">
        <v>45015</v>
      </c>
      <c r="D30">
        <v>0</v>
      </c>
      <c r="E30">
        <v>0</v>
      </c>
      <c r="F30" s="3">
        <v>29</v>
      </c>
      <c r="T30">
        <v>1</v>
      </c>
      <c r="U30" s="2">
        <v>44298</v>
      </c>
      <c r="V30">
        <v>3.0691307323750898</v>
      </c>
    </row>
    <row r="31" spans="2:22" x14ac:dyDescent="0.25">
      <c r="B31" s="1" t="s">
        <v>29</v>
      </c>
      <c r="C31" s="2">
        <v>43620</v>
      </c>
      <c r="D31">
        <v>0.5</v>
      </c>
      <c r="E31">
        <v>0.5</v>
      </c>
      <c r="F31" s="3">
        <v>29</v>
      </c>
      <c r="T31">
        <v>1</v>
      </c>
      <c r="U31" s="2">
        <v>44951</v>
      </c>
      <c r="V31">
        <v>5.1964407939767296</v>
      </c>
    </row>
    <row r="32" spans="2:22" x14ac:dyDescent="0.25">
      <c r="B32" s="1" t="s">
        <v>29</v>
      </c>
      <c r="C32" s="2">
        <v>44103</v>
      </c>
      <c r="D32">
        <v>0</v>
      </c>
      <c r="E32">
        <v>0</v>
      </c>
      <c r="F32" s="3">
        <v>29</v>
      </c>
      <c r="T32">
        <v>1</v>
      </c>
      <c r="U32" s="2">
        <v>44951</v>
      </c>
      <c r="V32">
        <v>5.1964407939767296</v>
      </c>
    </row>
    <row r="33" spans="2:22" x14ac:dyDescent="0.25">
      <c r="B33" s="1" t="s">
        <v>29</v>
      </c>
      <c r="C33" s="2">
        <v>44483</v>
      </c>
      <c r="D33">
        <v>0.5</v>
      </c>
      <c r="E33">
        <v>0.5</v>
      </c>
      <c r="F33" s="3">
        <v>29</v>
      </c>
      <c r="T33">
        <v>1</v>
      </c>
      <c r="U33" s="2">
        <v>44951</v>
      </c>
      <c r="V33">
        <v>5.1964407939767296</v>
      </c>
    </row>
    <row r="34" spans="2:22" x14ac:dyDescent="0.25">
      <c r="B34" s="1" t="s">
        <v>29</v>
      </c>
      <c r="C34" s="2">
        <v>44951</v>
      </c>
      <c r="D34">
        <v>0.5</v>
      </c>
      <c r="E34">
        <v>0</v>
      </c>
      <c r="F34" s="3">
        <v>28</v>
      </c>
      <c r="T34">
        <v>1</v>
      </c>
      <c r="U34" s="2">
        <v>44951</v>
      </c>
      <c r="V34">
        <v>5.1964407939767296</v>
      </c>
    </row>
    <row r="35" spans="2:22" x14ac:dyDescent="0.25">
      <c r="B35" s="1" t="s">
        <v>30</v>
      </c>
      <c r="C35" s="2">
        <v>42717</v>
      </c>
      <c r="D35">
        <v>0</v>
      </c>
      <c r="E35">
        <v>0</v>
      </c>
      <c r="F35" s="3">
        <v>30</v>
      </c>
      <c r="T35">
        <v>1</v>
      </c>
      <c r="U35" s="2">
        <v>45261</v>
      </c>
      <c r="V35">
        <v>7.9644079397672796</v>
      </c>
    </row>
    <row r="36" spans="2:22" x14ac:dyDescent="0.25">
      <c r="B36" s="1" t="s">
        <v>30</v>
      </c>
      <c r="C36" s="2">
        <v>43111</v>
      </c>
      <c r="D36">
        <v>0</v>
      </c>
      <c r="E36">
        <v>0</v>
      </c>
      <c r="F36" s="3">
        <v>30</v>
      </c>
      <c r="T36">
        <v>1</v>
      </c>
      <c r="U36" s="2">
        <v>45261</v>
      </c>
      <c r="V36">
        <v>7.9644079397672796</v>
      </c>
    </row>
    <row r="37" spans="2:22" x14ac:dyDescent="0.25">
      <c r="B37" s="1" t="s">
        <v>30</v>
      </c>
      <c r="C37" s="2">
        <v>43497</v>
      </c>
      <c r="D37">
        <v>0</v>
      </c>
      <c r="E37">
        <v>0</v>
      </c>
      <c r="F37" s="3">
        <v>29</v>
      </c>
      <c r="T37">
        <v>1</v>
      </c>
      <c r="U37" s="2">
        <v>45261</v>
      </c>
      <c r="V37">
        <v>7.9644079397672796</v>
      </c>
    </row>
    <row r="38" spans="2:22" x14ac:dyDescent="0.25">
      <c r="B38" s="1" t="s">
        <v>30</v>
      </c>
      <c r="C38" s="2">
        <v>43802</v>
      </c>
      <c r="D38">
        <v>0</v>
      </c>
      <c r="E38">
        <v>0</v>
      </c>
      <c r="F38" s="3">
        <v>30</v>
      </c>
      <c r="T38">
        <v>1</v>
      </c>
      <c r="U38" s="2">
        <v>45261</v>
      </c>
      <c r="V38">
        <v>7.9644079397672796</v>
      </c>
    </row>
    <row r="39" spans="2:22" x14ac:dyDescent="0.25">
      <c r="B39" s="1" t="s">
        <v>30</v>
      </c>
      <c r="C39" s="2">
        <v>44368</v>
      </c>
      <c r="D39">
        <v>0</v>
      </c>
      <c r="E39">
        <v>0</v>
      </c>
      <c r="F39" s="3"/>
      <c r="T39">
        <v>1</v>
      </c>
      <c r="U39" s="2">
        <v>45261</v>
      </c>
      <c r="V39">
        <v>7.9644079397672796</v>
      </c>
    </row>
    <row r="40" spans="2:22" x14ac:dyDescent="0.25">
      <c r="B40" s="1" t="s">
        <v>30</v>
      </c>
      <c r="C40" s="2">
        <v>44711</v>
      </c>
      <c r="D40">
        <v>0</v>
      </c>
      <c r="E40">
        <v>0</v>
      </c>
      <c r="F40" s="3" t="s">
        <v>31</v>
      </c>
      <c r="T40">
        <v>1</v>
      </c>
      <c r="U40" s="2">
        <v>45261</v>
      </c>
      <c r="V40">
        <v>7.9644079397672796</v>
      </c>
    </row>
    <row r="41" spans="2:22" x14ac:dyDescent="0.25">
      <c r="B41" s="1" t="s">
        <v>30</v>
      </c>
      <c r="C41" s="2">
        <v>45261</v>
      </c>
      <c r="D41">
        <v>0</v>
      </c>
      <c r="E41">
        <v>0</v>
      </c>
      <c r="F41" s="3">
        <v>29</v>
      </c>
      <c r="T41">
        <v>1</v>
      </c>
      <c r="U41" s="2">
        <v>45261</v>
      </c>
      <c r="V41">
        <v>7.9644079397672796</v>
      </c>
    </row>
    <row r="42" spans="2:22" x14ac:dyDescent="0.25">
      <c r="B42" s="1" t="s">
        <v>32</v>
      </c>
      <c r="C42" s="2">
        <v>43663</v>
      </c>
      <c r="D42">
        <v>1</v>
      </c>
      <c r="E42">
        <v>0.5</v>
      </c>
      <c r="F42" s="3">
        <v>29</v>
      </c>
      <c r="T42">
        <v>1</v>
      </c>
      <c r="U42" s="2">
        <v>43663</v>
      </c>
      <c r="V42">
        <v>0.991101984941821</v>
      </c>
    </row>
    <row r="43" spans="2:22" x14ac:dyDescent="0.25">
      <c r="B43" s="1" t="s">
        <v>32</v>
      </c>
      <c r="C43" s="2">
        <v>44077</v>
      </c>
      <c r="D43">
        <v>0</v>
      </c>
      <c r="E43">
        <v>0</v>
      </c>
      <c r="F43" s="3">
        <v>29</v>
      </c>
      <c r="G43">
        <v>4789.4348303002398</v>
      </c>
      <c r="H43">
        <v>3.4520848029793001</v>
      </c>
      <c r="I43">
        <v>11820.4617435898</v>
      </c>
      <c r="J43">
        <v>1.7420021975631199</v>
      </c>
      <c r="K43">
        <v>1187.41327504276</v>
      </c>
      <c r="L43">
        <v>3.29906415682261</v>
      </c>
      <c r="M43">
        <v>303.57329825937001</v>
      </c>
      <c r="N43">
        <v>3.4129954516717702</v>
      </c>
      <c r="O43">
        <v>74.581999999999994</v>
      </c>
      <c r="P43">
        <v>0.32279000000000002</v>
      </c>
      <c r="Q43">
        <v>0.10045405169444339</v>
      </c>
      <c r="R43">
        <v>15.92090953638626</v>
      </c>
      <c r="S43">
        <v>0</v>
      </c>
      <c r="T43">
        <v>1</v>
      </c>
      <c r="U43" s="2">
        <v>43663</v>
      </c>
      <c r="V43">
        <v>0.991101984941821</v>
      </c>
    </row>
    <row r="44" spans="2:22" x14ac:dyDescent="0.25">
      <c r="B44" s="1" t="s">
        <v>32</v>
      </c>
      <c r="C44" s="2">
        <v>44417</v>
      </c>
      <c r="D44">
        <v>0</v>
      </c>
      <c r="E44">
        <v>0</v>
      </c>
      <c r="F44" s="3">
        <v>29</v>
      </c>
      <c r="T44">
        <v>1</v>
      </c>
      <c r="U44" s="2">
        <v>43663</v>
      </c>
      <c r="V44">
        <v>0.991101984941821</v>
      </c>
    </row>
    <row r="45" spans="2:22" x14ac:dyDescent="0.25">
      <c r="B45" s="1" t="s">
        <v>32</v>
      </c>
      <c r="C45" s="2">
        <v>45113</v>
      </c>
      <c r="D45">
        <v>0</v>
      </c>
      <c r="E45">
        <v>0</v>
      </c>
      <c r="F45" s="3">
        <v>30</v>
      </c>
      <c r="T45">
        <v>1</v>
      </c>
      <c r="U45" s="2">
        <v>43663</v>
      </c>
      <c r="V45">
        <v>0.991101984941821</v>
      </c>
    </row>
    <row r="46" spans="2:22" x14ac:dyDescent="0.25">
      <c r="B46" s="1" t="s">
        <v>33</v>
      </c>
      <c r="C46" s="2">
        <v>43304</v>
      </c>
      <c r="D46">
        <v>2</v>
      </c>
      <c r="E46">
        <v>0.5</v>
      </c>
      <c r="F46" s="3">
        <v>28</v>
      </c>
      <c r="T46">
        <v>1</v>
      </c>
      <c r="U46" s="2">
        <v>43304</v>
      </c>
      <c r="V46">
        <v>1.06776180698152</v>
      </c>
    </row>
    <row r="47" spans="2:22" x14ac:dyDescent="0.25">
      <c r="B47" s="1" t="s">
        <v>33</v>
      </c>
      <c r="C47" s="2">
        <v>43650</v>
      </c>
      <c r="D47">
        <v>2</v>
      </c>
      <c r="E47">
        <v>0.5</v>
      </c>
      <c r="F47" s="3">
        <v>27</v>
      </c>
      <c r="T47">
        <v>1</v>
      </c>
      <c r="U47" s="2">
        <v>43304</v>
      </c>
      <c r="V47">
        <v>1.06776180698152</v>
      </c>
    </row>
    <row r="48" spans="2:22" x14ac:dyDescent="0.25">
      <c r="B48" s="1" t="s">
        <v>33</v>
      </c>
      <c r="C48" s="2">
        <v>44027</v>
      </c>
      <c r="D48">
        <v>1</v>
      </c>
      <c r="E48">
        <v>0.5</v>
      </c>
      <c r="F48" s="3">
        <v>27</v>
      </c>
      <c r="T48">
        <v>1</v>
      </c>
      <c r="U48" s="2">
        <v>43304</v>
      </c>
      <c r="V48">
        <v>1.06776180698152</v>
      </c>
    </row>
    <row r="49" spans="2:22" x14ac:dyDescent="0.25">
      <c r="B49" s="1" t="s">
        <v>34</v>
      </c>
      <c r="C49" s="2">
        <v>42676</v>
      </c>
      <c r="D49">
        <v>2.5</v>
      </c>
      <c r="E49">
        <v>0.5</v>
      </c>
      <c r="F49" s="3">
        <v>27</v>
      </c>
      <c r="T49">
        <v>1</v>
      </c>
      <c r="U49" s="2">
        <v>42676</v>
      </c>
      <c r="V49">
        <v>1.1143052703627701</v>
      </c>
    </row>
    <row r="50" spans="2:22" x14ac:dyDescent="0.25">
      <c r="B50" s="1" t="s">
        <v>35</v>
      </c>
      <c r="C50" s="2">
        <v>43668</v>
      </c>
      <c r="D50">
        <v>1</v>
      </c>
      <c r="E50">
        <v>0.5</v>
      </c>
      <c r="F50" s="3">
        <v>30</v>
      </c>
      <c r="T50">
        <v>1</v>
      </c>
      <c r="U50" s="2">
        <v>44746</v>
      </c>
      <c r="V50">
        <v>3.9479808350444898</v>
      </c>
    </row>
    <row r="51" spans="2:22" x14ac:dyDescent="0.25">
      <c r="B51" s="1" t="s">
        <v>35</v>
      </c>
      <c r="C51" s="2">
        <v>44021</v>
      </c>
      <c r="D51">
        <v>1</v>
      </c>
      <c r="E51">
        <v>0.5</v>
      </c>
      <c r="F51" s="3">
        <v>27</v>
      </c>
      <c r="T51">
        <v>1</v>
      </c>
      <c r="U51" s="2">
        <v>44746</v>
      </c>
      <c r="V51">
        <v>3.9479808350444898</v>
      </c>
    </row>
    <row r="52" spans="2:22" x14ac:dyDescent="0.25">
      <c r="B52" s="1" t="s">
        <v>35</v>
      </c>
      <c r="C52" s="2">
        <v>44382</v>
      </c>
      <c r="D52">
        <v>1</v>
      </c>
      <c r="E52">
        <v>0.5</v>
      </c>
      <c r="F52" s="3">
        <v>29</v>
      </c>
      <c r="T52">
        <v>1</v>
      </c>
      <c r="U52" s="2">
        <v>44746</v>
      </c>
      <c r="V52">
        <v>3.9479808350444898</v>
      </c>
    </row>
    <row r="53" spans="2:22" x14ac:dyDescent="0.25">
      <c r="B53" s="1" t="s">
        <v>35</v>
      </c>
      <c r="C53" s="2">
        <v>44746</v>
      </c>
      <c r="D53">
        <v>1</v>
      </c>
      <c r="E53">
        <v>0.5</v>
      </c>
      <c r="F53" s="3">
        <v>30</v>
      </c>
      <c r="T53">
        <v>1</v>
      </c>
      <c r="U53" s="2">
        <v>44746</v>
      </c>
      <c r="V53">
        <v>3.9479808350444898</v>
      </c>
    </row>
    <row r="54" spans="2:22" x14ac:dyDescent="0.25">
      <c r="B54" s="1" t="s">
        <v>35</v>
      </c>
      <c r="C54" s="2">
        <v>45117</v>
      </c>
      <c r="D54">
        <v>1</v>
      </c>
      <c r="E54">
        <v>0.5</v>
      </c>
      <c r="F54" s="3">
        <v>27</v>
      </c>
      <c r="T54">
        <v>1</v>
      </c>
      <c r="U54" s="2">
        <v>44746</v>
      </c>
      <c r="V54">
        <v>3.9479808350444898</v>
      </c>
    </row>
    <row r="55" spans="2:22" x14ac:dyDescent="0.25">
      <c r="B55" s="1" t="s">
        <v>36</v>
      </c>
      <c r="C55" s="2">
        <v>42639</v>
      </c>
      <c r="D55">
        <v>0</v>
      </c>
      <c r="E55">
        <v>0</v>
      </c>
      <c r="F55" s="3">
        <v>28</v>
      </c>
      <c r="T55">
        <v>1</v>
      </c>
      <c r="U55" s="2">
        <v>44818</v>
      </c>
      <c r="V55">
        <v>6.9979466119096498</v>
      </c>
    </row>
    <row r="56" spans="2:22" x14ac:dyDescent="0.25">
      <c r="B56" s="1" t="s">
        <v>36</v>
      </c>
      <c r="C56" s="2">
        <v>43012</v>
      </c>
      <c r="D56">
        <v>0</v>
      </c>
      <c r="E56">
        <v>0</v>
      </c>
      <c r="F56" s="3">
        <v>28</v>
      </c>
      <c r="T56">
        <v>1</v>
      </c>
      <c r="U56" s="2">
        <v>44818</v>
      </c>
      <c r="V56">
        <v>6.9979466119096498</v>
      </c>
    </row>
    <row r="57" spans="2:22" x14ac:dyDescent="0.25">
      <c r="B57" s="1" t="s">
        <v>36</v>
      </c>
      <c r="C57" s="2">
        <v>43402</v>
      </c>
      <c r="D57">
        <v>0</v>
      </c>
      <c r="E57">
        <v>0</v>
      </c>
      <c r="F57" s="3">
        <v>28</v>
      </c>
      <c r="T57">
        <v>1</v>
      </c>
      <c r="U57" s="2">
        <v>44818</v>
      </c>
      <c r="V57">
        <v>6.9979466119096498</v>
      </c>
    </row>
    <row r="58" spans="2:22" x14ac:dyDescent="0.25">
      <c r="B58" s="1" t="s">
        <v>36</v>
      </c>
      <c r="C58" s="2">
        <v>43732</v>
      </c>
      <c r="D58">
        <v>0</v>
      </c>
      <c r="E58">
        <v>0</v>
      </c>
      <c r="F58" s="3">
        <v>30</v>
      </c>
      <c r="T58">
        <v>1</v>
      </c>
      <c r="U58" s="2">
        <v>44818</v>
      </c>
      <c r="V58">
        <v>6.9979466119096498</v>
      </c>
    </row>
    <row r="59" spans="2:22" x14ac:dyDescent="0.25">
      <c r="B59" s="1" t="s">
        <v>36</v>
      </c>
      <c r="C59" s="2">
        <v>44111</v>
      </c>
      <c r="D59">
        <v>0</v>
      </c>
      <c r="E59">
        <v>0</v>
      </c>
      <c r="F59" s="3">
        <v>29</v>
      </c>
      <c r="T59">
        <v>1</v>
      </c>
      <c r="U59" s="2">
        <v>44818</v>
      </c>
      <c r="V59">
        <v>6.9979466119096498</v>
      </c>
    </row>
    <row r="60" spans="2:22" x14ac:dyDescent="0.25">
      <c r="B60" s="1" t="s">
        <v>36</v>
      </c>
      <c r="C60" s="2">
        <v>44473</v>
      </c>
      <c r="D60">
        <v>0</v>
      </c>
      <c r="E60">
        <v>0</v>
      </c>
      <c r="F60" s="3">
        <v>29</v>
      </c>
      <c r="T60">
        <v>1</v>
      </c>
      <c r="U60" s="2">
        <v>44818</v>
      </c>
      <c r="V60">
        <v>6.9979466119096498</v>
      </c>
    </row>
    <row r="61" spans="2:22" x14ac:dyDescent="0.25">
      <c r="B61" s="1" t="s">
        <v>36</v>
      </c>
      <c r="C61" s="2">
        <v>44818</v>
      </c>
      <c r="D61">
        <v>0</v>
      </c>
      <c r="E61">
        <v>0</v>
      </c>
      <c r="F61" s="3">
        <v>29</v>
      </c>
      <c r="T61">
        <v>1</v>
      </c>
      <c r="U61" s="2">
        <v>44818</v>
      </c>
      <c r="V61">
        <v>6.9979466119096498</v>
      </c>
    </row>
    <row r="62" spans="2:22" x14ac:dyDescent="0.25">
      <c r="B62" s="1" t="s">
        <v>36</v>
      </c>
      <c r="C62" s="2">
        <v>45188</v>
      </c>
      <c r="D62">
        <v>0</v>
      </c>
      <c r="E62">
        <v>0</v>
      </c>
      <c r="F62" s="3">
        <v>30</v>
      </c>
      <c r="T62">
        <v>1</v>
      </c>
      <c r="U62" s="2">
        <v>44818</v>
      </c>
      <c r="V62">
        <v>6.9979466119096498</v>
      </c>
    </row>
    <row r="63" spans="2:22" x14ac:dyDescent="0.25">
      <c r="B63" s="1" t="s">
        <v>37</v>
      </c>
      <c r="C63" s="2">
        <v>42578</v>
      </c>
      <c r="D63">
        <v>0</v>
      </c>
      <c r="E63">
        <v>0</v>
      </c>
      <c r="F63" s="3">
        <v>30</v>
      </c>
      <c r="T63">
        <v>1</v>
      </c>
      <c r="U63" s="2">
        <v>44397</v>
      </c>
      <c r="V63">
        <v>5.9958932238192997</v>
      </c>
    </row>
    <row r="64" spans="2:22" x14ac:dyDescent="0.25">
      <c r="B64" s="1" t="s">
        <v>37</v>
      </c>
      <c r="C64" s="2">
        <v>43013</v>
      </c>
      <c r="D64">
        <v>0</v>
      </c>
      <c r="E64">
        <v>0</v>
      </c>
      <c r="F64" s="3">
        <v>30</v>
      </c>
      <c r="T64">
        <v>1</v>
      </c>
      <c r="U64" s="2">
        <v>44397</v>
      </c>
      <c r="V64">
        <v>5.9958932238192997</v>
      </c>
    </row>
    <row r="65" spans="2:22" x14ac:dyDescent="0.25">
      <c r="B65" s="1" t="s">
        <v>37</v>
      </c>
      <c r="C65" s="2">
        <v>43279</v>
      </c>
      <c r="D65">
        <v>0</v>
      </c>
      <c r="E65">
        <v>0</v>
      </c>
      <c r="F65" s="3">
        <v>30</v>
      </c>
      <c r="T65">
        <v>1</v>
      </c>
      <c r="U65" s="2">
        <v>44397</v>
      </c>
      <c r="V65">
        <v>5.9958932238192997</v>
      </c>
    </row>
    <row r="66" spans="2:22" x14ac:dyDescent="0.25">
      <c r="B66" s="1" t="s">
        <v>37</v>
      </c>
      <c r="C66" s="2">
        <v>43634</v>
      </c>
      <c r="D66">
        <v>0</v>
      </c>
      <c r="E66">
        <v>0</v>
      </c>
      <c r="F66" s="3">
        <v>30</v>
      </c>
      <c r="T66">
        <v>1</v>
      </c>
      <c r="U66" s="2">
        <v>44397</v>
      </c>
      <c r="V66">
        <v>5.9958932238192997</v>
      </c>
    </row>
    <row r="67" spans="2:22" x14ac:dyDescent="0.25">
      <c r="B67" s="1" t="s">
        <v>37</v>
      </c>
      <c r="C67" s="2">
        <v>44026</v>
      </c>
      <c r="D67">
        <v>0</v>
      </c>
      <c r="E67">
        <v>0</v>
      </c>
      <c r="F67" s="3">
        <v>30</v>
      </c>
      <c r="T67">
        <v>1</v>
      </c>
      <c r="U67" s="2">
        <v>44397</v>
      </c>
      <c r="V67">
        <v>5.9958932238192997</v>
      </c>
    </row>
    <row r="68" spans="2:22" x14ac:dyDescent="0.25">
      <c r="B68" s="1" t="s">
        <v>37</v>
      </c>
      <c r="C68" s="2">
        <v>44397</v>
      </c>
      <c r="D68">
        <v>2.5</v>
      </c>
      <c r="E68">
        <v>0.5</v>
      </c>
      <c r="F68" s="3">
        <v>26</v>
      </c>
      <c r="T68">
        <v>1</v>
      </c>
      <c r="U68" s="2">
        <v>44397</v>
      </c>
      <c r="V68">
        <v>5.9958932238192997</v>
      </c>
    </row>
    <row r="69" spans="2:22" x14ac:dyDescent="0.25">
      <c r="B69" s="1" t="s">
        <v>37</v>
      </c>
      <c r="C69" s="2">
        <v>44761</v>
      </c>
      <c r="D69">
        <v>2</v>
      </c>
      <c r="E69">
        <v>0.5</v>
      </c>
      <c r="F69" s="3">
        <v>27</v>
      </c>
      <c r="T69">
        <v>1</v>
      </c>
      <c r="U69" s="2">
        <v>44397</v>
      </c>
      <c r="V69">
        <v>5.9958932238192997</v>
      </c>
    </row>
    <row r="70" spans="2:22" x14ac:dyDescent="0.25">
      <c r="B70" s="1" t="s">
        <v>38</v>
      </c>
      <c r="C70" s="2">
        <v>43558</v>
      </c>
      <c r="D70">
        <v>0.5</v>
      </c>
      <c r="E70">
        <v>0</v>
      </c>
      <c r="F70" s="3">
        <v>26</v>
      </c>
      <c r="T70">
        <v>1</v>
      </c>
      <c r="U70" s="2">
        <v>44084</v>
      </c>
      <c r="V70">
        <v>2.47501711156742</v>
      </c>
    </row>
    <row r="71" spans="2:22" x14ac:dyDescent="0.25">
      <c r="B71" s="1" t="s">
        <v>38</v>
      </c>
      <c r="C71" s="2">
        <v>44084</v>
      </c>
      <c r="D71">
        <v>0.5</v>
      </c>
      <c r="E71">
        <v>0.5</v>
      </c>
      <c r="F71" s="3">
        <v>28</v>
      </c>
      <c r="T71">
        <v>1</v>
      </c>
      <c r="U71" s="2">
        <v>44084</v>
      </c>
      <c r="V71">
        <v>2.47501711156742</v>
      </c>
    </row>
    <row r="72" spans="2:22" x14ac:dyDescent="0.25">
      <c r="B72" s="1" t="s">
        <v>38</v>
      </c>
      <c r="C72" s="2">
        <v>44301</v>
      </c>
      <c r="D72">
        <v>2</v>
      </c>
      <c r="E72">
        <v>0.5</v>
      </c>
      <c r="F72" s="3">
        <v>29</v>
      </c>
      <c r="T72">
        <v>1</v>
      </c>
      <c r="U72" s="2">
        <v>44084</v>
      </c>
      <c r="V72">
        <v>2.47501711156742</v>
      </c>
    </row>
    <row r="73" spans="2:22" x14ac:dyDescent="0.25">
      <c r="B73" s="1" t="s">
        <v>38</v>
      </c>
      <c r="C73" s="2">
        <v>44790</v>
      </c>
      <c r="D73">
        <v>3.5</v>
      </c>
      <c r="E73">
        <v>0.5</v>
      </c>
      <c r="F73" s="3">
        <v>24</v>
      </c>
      <c r="T73">
        <v>1</v>
      </c>
      <c r="U73" s="2">
        <v>44084</v>
      </c>
      <c r="V73">
        <v>2.47501711156742</v>
      </c>
    </row>
    <row r="74" spans="2:22" x14ac:dyDescent="0.25">
      <c r="B74" s="1" t="s">
        <v>39</v>
      </c>
      <c r="C74" s="2">
        <v>42220</v>
      </c>
      <c r="D74">
        <v>0</v>
      </c>
      <c r="E74">
        <v>0</v>
      </c>
      <c r="F74" s="3">
        <v>30</v>
      </c>
      <c r="T74">
        <v>1</v>
      </c>
      <c r="U74" s="2">
        <v>42942</v>
      </c>
      <c r="V74">
        <v>2.9869952087611198</v>
      </c>
    </row>
    <row r="75" spans="2:22" x14ac:dyDescent="0.25">
      <c r="B75" s="1" t="s">
        <v>39</v>
      </c>
      <c r="C75" s="2">
        <v>42648</v>
      </c>
      <c r="D75">
        <v>0</v>
      </c>
      <c r="E75">
        <v>0</v>
      </c>
      <c r="F75" s="3">
        <v>29</v>
      </c>
      <c r="G75">
        <v>5096.1923971306596</v>
      </c>
      <c r="H75">
        <v>1.9522665694557499</v>
      </c>
      <c r="I75">
        <v>12038.1744294489</v>
      </c>
      <c r="J75">
        <v>2.78729456810599</v>
      </c>
      <c r="K75">
        <v>658.78398549350197</v>
      </c>
      <c r="L75">
        <v>1.4622264974152499</v>
      </c>
      <c r="M75">
        <v>528.16759538896099</v>
      </c>
      <c r="N75">
        <v>1.8236993475029499</v>
      </c>
      <c r="O75">
        <v>87.271000000000001</v>
      </c>
      <c r="P75">
        <v>0.62400999999999995</v>
      </c>
      <c r="Q75">
        <v>5.4724575503900613E-2</v>
      </c>
      <c r="R75">
        <v>7.5487159021152728</v>
      </c>
      <c r="S75">
        <v>0</v>
      </c>
      <c r="T75">
        <v>1</v>
      </c>
      <c r="U75" s="2">
        <v>42942</v>
      </c>
      <c r="V75">
        <v>2.9869952087611198</v>
      </c>
    </row>
    <row r="76" spans="2:22" x14ac:dyDescent="0.25">
      <c r="B76" s="1" t="s">
        <v>39</v>
      </c>
      <c r="C76" s="2">
        <v>42942</v>
      </c>
      <c r="D76">
        <v>0</v>
      </c>
      <c r="E76">
        <v>0</v>
      </c>
      <c r="F76" s="3">
        <v>30</v>
      </c>
      <c r="T76">
        <v>1</v>
      </c>
      <c r="U76" s="2">
        <v>42942</v>
      </c>
      <c r="V76">
        <v>2.9869952087611198</v>
      </c>
    </row>
    <row r="77" spans="2:22" x14ac:dyDescent="0.25">
      <c r="B77" s="1" t="s">
        <v>39</v>
      </c>
      <c r="C77" s="2">
        <v>43276</v>
      </c>
      <c r="D77">
        <v>0</v>
      </c>
      <c r="E77">
        <v>0</v>
      </c>
      <c r="F77" s="3">
        <v>30</v>
      </c>
      <c r="G77">
        <v>6531.0344176816498</v>
      </c>
      <c r="H77">
        <v>1.11423904618056</v>
      </c>
      <c r="I77">
        <v>13586.6328744486</v>
      </c>
      <c r="J77">
        <v>0.59400289267414397</v>
      </c>
      <c r="K77">
        <v>811.04623139212197</v>
      </c>
      <c r="L77">
        <v>1.9404528982824001</v>
      </c>
      <c r="M77">
        <v>466.45450714205998</v>
      </c>
      <c r="N77">
        <v>9.6502833438654694</v>
      </c>
      <c r="O77">
        <v>94.567999999999998</v>
      </c>
      <c r="P77">
        <v>2.8462999999999998</v>
      </c>
      <c r="Q77">
        <v>5.9694424577953972E-2</v>
      </c>
      <c r="R77">
        <v>8.5763284767799046</v>
      </c>
      <c r="S77">
        <v>0</v>
      </c>
      <c r="T77">
        <v>1</v>
      </c>
      <c r="U77" s="2">
        <v>42942</v>
      </c>
      <c r="V77">
        <v>2.9869952087611198</v>
      </c>
    </row>
    <row r="78" spans="2:22" x14ac:dyDescent="0.25">
      <c r="B78" s="1" t="s">
        <v>40</v>
      </c>
      <c r="C78" s="2">
        <v>42528</v>
      </c>
      <c r="D78">
        <v>0</v>
      </c>
      <c r="E78">
        <v>0</v>
      </c>
      <c r="F78" s="3">
        <v>28</v>
      </c>
      <c r="T78">
        <v>1</v>
      </c>
      <c r="U78" s="2">
        <v>43171</v>
      </c>
      <c r="V78">
        <v>2.8884325804243698</v>
      </c>
    </row>
    <row r="79" spans="2:22" x14ac:dyDescent="0.25">
      <c r="B79" s="1" t="s">
        <v>40</v>
      </c>
      <c r="C79" s="2">
        <v>42835</v>
      </c>
      <c r="D79">
        <v>0</v>
      </c>
      <c r="E79">
        <v>0</v>
      </c>
      <c r="F79" s="3">
        <v>27</v>
      </c>
      <c r="G79">
        <v>2791.8282975558</v>
      </c>
      <c r="H79">
        <v>3.70496662606531</v>
      </c>
      <c r="I79">
        <v>7394.1573416762903</v>
      </c>
      <c r="J79">
        <v>0.63140702756497902</v>
      </c>
      <c r="K79">
        <v>875.96339170440399</v>
      </c>
      <c r="L79">
        <v>2.9409793942520799</v>
      </c>
      <c r="M79">
        <v>272.307084630286</v>
      </c>
      <c r="N79">
        <v>8.2149923052232001</v>
      </c>
      <c r="O79">
        <v>41.295999999999999</v>
      </c>
      <c r="P79">
        <v>0.61121000000000003</v>
      </c>
      <c r="Q79">
        <v>0.1184669667180519</v>
      </c>
      <c r="R79">
        <v>21.21182176734802</v>
      </c>
      <c r="S79">
        <v>0</v>
      </c>
      <c r="T79">
        <v>1</v>
      </c>
      <c r="U79" s="2">
        <v>43171</v>
      </c>
      <c r="V79">
        <v>2.8884325804243698</v>
      </c>
    </row>
    <row r="80" spans="2:22" x14ac:dyDescent="0.25">
      <c r="B80" s="1" t="s">
        <v>40</v>
      </c>
      <c r="C80" s="2">
        <v>43171</v>
      </c>
      <c r="D80">
        <v>6</v>
      </c>
      <c r="E80">
        <v>1</v>
      </c>
      <c r="F80" s="3">
        <v>29</v>
      </c>
      <c r="T80">
        <v>1</v>
      </c>
      <c r="U80" s="2">
        <v>43171</v>
      </c>
      <c r="V80">
        <v>2.8884325804243698</v>
      </c>
    </row>
    <row r="81" spans="2:22" x14ac:dyDescent="0.25">
      <c r="B81" s="1" t="s">
        <v>41</v>
      </c>
      <c r="C81" s="2">
        <v>43692</v>
      </c>
      <c r="D81">
        <v>2</v>
      </c>
      <c r="E81">
        <v>0.5</v>
      </c>
      <c r="F81" s="3">
        <v>28</v>
      </c>
      <c r="T81">
        <v>1</v>
      </c>
      <c r="U81" s="2">
        <v>44069</v>
      </c>
      <c r="V81">
        <v>1.9958932238192999</v>
      </c>
    </row>
    <row r="82" spans="2:22" x14ac:dyDescent="0.25">
      <c r="B82" s="1" t="s">
        <v>41</v>
      </c>
      <c r="C82" s="2">
        <v>44069</v>
      </c>
      <c r="D82">
        <v>3</v>
      </c>
      <c r="E82">
        <v>0.5</v>
      </c>
      <c r="F82" s="3">
        <v>27</v>
      </c>
      <c r="G82">
        <v>4084.1625652877001</v>
      </c>
      <c r="H82">
        <v>3.5352654979964901</v>
      </c>
      <c r="I82">
        <v>9287.49626165886</v>
      </c>
      <c r="J82">
        <v>1.94404822053925</v>
      </c>
      <c r="K82">
        <v>421.927919901672</v>
      </c>
      <c r="L82">
        <v>0.78477098637544596</v>
      </c>
      <c r="M82">
        <v>765.86079737981697</v>
      </c>
      <c r="N82">
        <v>1.5532387627380799</v>
      </c>
      <c r="O82">
        <v>96.156999999999996</v>
      </c>
      <c r="P82">
        <v>0.22506000000000001</v>
      </c>
      <c r="Q82">
        <v>4.5429673187971822E-2</v>
      </c>
      <c r="R82">
        <v>4.3879064436460373</v>
      </c>
      <c r="S82">
        <v>0</v>
      </c>
      <c r="T82">
        <v>1</v>
      </c>
      <c r="U82" s="2">
        <v>44069</v>
      </c>
      <c r="V82">
        <v>1.9958932238192999</v>
      </c>
    </row>
    <row r="83" spans="2:22" x14ac:dyDescent="0.25">
      <c r="B83" s="1" t="s">
        <v>41</v>
      </c>
      <c r="C83" s="2">
        <v>44448</v>
      </c>
      <c r="D83">
        <v>2.5</v>
      </c>
      <c r="E83">
        <v>0.5</v>
      </c>
      <c r="F83" s="3">
        <v>25</v>
      </c>
      <c r="T83">
        <v>1</v>
      </c>
      <c r="U83" s="2">
        <v>44069</v>
      </c>
      <c r="V83">
        <v>1.9958932238192999</v>
      </c>
    </row>
    <row r="84" spans="2:22" x14ac:dyDescent="0.25">
      <c r="B84" s="1" t="s">
        <v>41</v>
      </c>
      <c r="C84" s="2">
        <v>44803</v>
      </c>
      <c r="D84">
        <v>5</v>
      </c>
      <c r="E84">
        <v>1</v>
      </c>
      <c r="F84" s="3">
        <v>26</v>
      </c>
      <c r="T84">
        <v>1</v>
      </c>
      <c r="U84" s="2">
        <v>44069</v>
      </c>
      <c r="V84">
        <v>1.9958932238192999</v>
      </c>
    </row>
    <row r="85" spans="2:22" x14ac:dyDescent="0.25">
      <c r="B85" s="1" t="s">
        <v>41</v>
      </c>
      <c r="C85" s="2">
        <v>45160</v>
      </c>
      <c r="D85">
        <v>6</v>
      </c>
      <c r="E85">
        <v>1</v>
      </c>
      <c r="F85" s="3">
        <v>25</v>
      </c>
      <c r="T85">
        <v>1</v>
      </c>
      <c r="U85" s="2">
        <v>44069</v>
      </c>
      <c r="V85">
        <v>1.9958932238192999</v>
      </c>
    </row>
    <row r="86" spans="2:22" x14ac:dyDescent="0.25">
      <c r="B86" s="1" t="s">
        <v>42</v>
      </c>
      <c r="C86" s="2">
        <v>42464</v>
      </c>
      <c r="D86">
        <v>0.5</v>
      </c>
      <c r="E86">
        <v>0.5</v>
      </c>
      <c r="F86" s="3">
        <v>28</v>
      </c>
      <c r="T86">
        <v>1</v>
      </c>
      <c r="U86" s="2">
        <v>42830</v>
      </c>
      <c r="V86">
        <v>1.9603011635865799</v>
      </c>
    </row>
    <row r="87" spans="2:22" x14ac:dyDescent="0.25">
      <c r="B87" s="1" t="s">
        <v>42</v>
      </c>
      <c r="C87" s="2">
        <v>42830</v>
      </c>
      <c r="D87">
        <v>0.5</v>
      </c>
      <c r="E87">
        <v>0.5</v>
      </c>
      <c r="F87" s="3">
        <v>30</v>
      </c>
      <c r="G87">
        <v>4107.0547620396701</v>
      </c>
      <c r="H87">
        <v>2.0928714623829801</v>
      </c>
      <c r="I87">
        <v>10648.366971654201</v>
      </c>
      <c r="J87">
        <v>0.54475603065977796</v>
      </c>
      <c r="K87">
        <v>659.46409324346496</v>
      </c>
      <c r="L87">
        <v>2.82532369961078</v>
      </c>
      <c r="M87">
        <v>616.67317292712096</v>
      </c>
      <c r="N87">
        <v>2.0001171907709501</v>
      </c>
      <c r="O87">
        <v>84.46</v>
      </c>
      <c r="P87">
        <v>0.22519</v>
      </c>
      <c r="Q87">
        <v>6.1931007355301423E-2</v>
      </c>
      <c r="R87">
        <v>7.8080048927713124</v>
      </c>
      <c r="S87">
        <v>0</v>
      </c>
      <c r="T87">
        <v>1</v>
      </c>
      <c r="U87" s="2">
        <v>42830</v>
      </c>
      <c r="V87">
        <v>1.9603011635865799</v>
      </c>
    </row>
    <row r="88" spans="2:22" x14ac:dyDescent="0.25">
      <c r="B88" s="1" t="s">
        <v>42</v>
      </c>
      <c r="C88" s="2">
        <v>43194</v>
      </c>
      <c r="D88">
        <v>0</v>
      </c>
      <c r="E88">
        <v>0</v>
      </c>
      <c r="F88" s="3">
        <v>30</v>
      </c>
      <c r="T88">
        <v>1</v>
      </c>
      <c r="U88" s="2">
        <v>42830</v>
      </c>
      <c r="V88">
        <v>1.9603011635865799</v>
      </c>
    </row>
    <row r="89" spans="2:22" x14ac:dyDescent="0.25">
      <c r="B89" s="1" t="s">
        <v>42</v>
      </c>
      <c r="C89" s="2">
        <v>43559</v>
      </c>
      <c r="D89">
        <v>0.5</v>
      </c>
      <c r="E89">
        <v>0.5</v>
      </c>
      <c r="F89" s="3">
        <v>29</v>
      </c>
      <c r="T89">
        <v>1</v>
      </c>
      <c r="U89" s="2">
        <v>42830</v>
      </c>
      <c r="V89">
        <v>1.9603011635865799</v>
      </c>
    </row>
    <row r="90" spans="2:22" x14ac:dyDescent="0.25">
      <c r="B90" s="1" t="s">
        <v>42</v>
      </c>
      <c r="C90" s="2">
        <v>43979</v>
      </c>
      <c r="D90">
        <v>0.5</v>
      </c>
      <c r="E90">
        <v>0.5</v>
      </c>
      <c r="F90" s="3">
        <v>30</v>
      </c>
      <c r="T90">
        <v>1</v>
      </c>
      <c r="U90" s="2">
        <v>42830</v>
      </c>
      <c r="V90">
        <v>1.9603011635865799</v>
      </c>
    </row>
    <row r="91" spans="2:22" x14ac:dyDescent="0.25">
      <c r="B91" s="1" t="s">
        <v>42</v>
      </c>
      <c r="C91" s="2">
        <v>44307</v>
      </c>
      <c r="D91">
        <v>0.5</v>
      </c>
      <c r="E91">
        <v>0.5</v>
      </c>
      <c r="F91" s="3">
        <v>27</v>
      </c>
      <c r="T91">
        <v>1</v>
      </c>
      <c r="U91" s="2">
        <v>42830</v>
      </c>
      <c r="V91">
        <v>1.9603011635865799</v>
      </c>
    </row>
    <row r="92" spans="2:22" x14ac:dyDescent="0.25">
      <c r="B92" s="1" t="s">
        <v>42</v>
      </c>
      <c r="C92" s="2">
        <v>44697</v>
      </c>
      <c r="D92">
        <v>1.5</v>
      </c>
      <c r="E92">
        <v>0.5</v>
      </c>
      <c r="F92" s="3">
        <v>29</v>
      </c>
      <c r="T92">
        <v>1</v>
      </c>
      <c r="U92" s="2">
        <v>42830</v>
      </c>
      <c r="V92">
        <v>1.9603011635865799</v>
      </c>
    </row>
    <row r="93" spans="2:22" x14ac:dyDescent="0.25">
      <c r="B93" s="1" t="s">
        <v>43</v>
      </c>
      <c r="C93" s="2">
        <v>43552</v>
      </c>
      <c r="D93">
        <v>0.5</v>
      </c>
      <c r="E93">
        <v>0.5</v>
      </c>
      <c r="F93" s="3">
        <v>29</v>
      </c>
      <c r="T93">
        <v>1</v>
      </c>
      <c r="U93" s="2">
        <v>44284</v>
      </c>
      <c r="V93">
        <v>3.0034223134839202</v>
      </c>
    </row>
    <row r="94" spans="2:22" x14ac:dyDescent="0.25">
      <c r="B94" s="1" t="s">
        <v>43</v>
      </c>
      <c r="C94" s="2">
        <v>44284</v>
      </c>
      <c r="D94">
        <v>0.5</v>
      </c>
      <c r="E94">
        <v>0.5</v>
      </c>
      <c r="F94" s="3">
        <v>27</v>
      </c>
      <c r="T94">
        <v>1</v>
      </c>
      <c r="U94" s="2">
        <v>44284</v>
      </c>
      <c r="V94">
        <v>3.0034223134839202</v>
      </c>
    </row>
    <row r="95" spans="2:22" x14ac:dyDescent="0.25">
      <c r="B95" s="1" t="s">
        <v>43</v>
      </c>
      <c r="C95" s="2">
        <v>44641</v>
      </c>
      <c r="D95">
        <v>0.5</v>
      </c>
      <c r="E95">
        <v>0.5</v>
      </c>
      <c r="F95" s="3"/>
      <c r="T95">
        <v>1</v>
      </c>
      <c r="U95" s="2">
        <v>44284</v>
      </c>
      <c r="V95">
        <v>3.0034223134839202</v>
      </c>
    </row>
    <row r="96" spans="2:22" x14ac:dyDescent="0.25">
      <c r="B96" s="1" t="s">
        <v>43</v>
      </c>
      <c r="C96" s="2">
        <v>45013</v>
      </c>
      <c r="D96">
        <v>0.5</v>
      </c>
      <c r="E96">
        <v>0.5</v>
      </c>
      <c r="F96" s="3"/>
      <c r="T96">
        <v>1</v>
      </c>
      <c r="U96" s="2">
        <v>44284</v>
      </c>
      <c r="V96">
        <v>3.0034223134839202</v>
      </c>
    </row>
    <row r="97" spans="2:22" x14ac:dyDescent="0.25">
      <c r="B97" s="1" t="s">
        <v>44</v>
      </c>
      <c r="C97" s="2">
        <v>42823</v>
      </c>
      <c r="D97">
        <v>0</v>
      </c>
      <c r="E97">
        <v>0</v>
      </c>
      <c r="F97" s="3">
        <v>29</v>
      </c>
      <c r="T97">
        <v>1</v>
      </c>
      <c r="U97" s="2">
        <v>43164</v>
      </c>
      <c r="V97">
        <v>1.9876796714579099</v>
      </c>
    </row>
    <row r="98" spans="2:22" x14ac:dyDescent="0.25">
      <c r="B98" s="1" t="s">
        <v>44</v>
      </c>
      <c r="C98" s="2">
        <v>43164</v>
      </c>
      <c r="D98">
        <v>0.5</v>
      </c>
      <c r="E98">
        <v>0</v>
      </c>
      <c r="F98" s="3">
        <v>27</v>
      </c>
      <c r="T98">
        <v>1</v>
      </c>
      <c r="U98" s="2">
        <v>43164</v>
      </c>
      <c r="V98">
        <v>1.9876796714579099</v>
      </c>
    </row>
    <row r="99" spans="2:22" x14ac:dyDescent="0.25">
      <c r="B99" s="1" t="s">
        <v>44</v>
      </c>
      <c r="C99" s="2">
        <v>43535</v>
      </c>
      <c r="D99">
        <v>0</v>
      </c>
      <c r="E99">
        <v>0</v>
      </c>
      <c r="F99" s="3">
        <v>30</v>
      </c>
      <c r="T99">
        <v>1</v>
      </c>
      <c r="U99" s="2">
        <v>43164</v>
      </c>
      <c r="V99">
        <v>1.9876796714579099</v>
      </c>
    </row>
    <row r="100" spans="2:22" x14ac:dyDescent="0.25">
      <c r="B100" s="1" t="s">
        <v>44</v>
      </c>
      <c r="C100" s="2">
        <v>43899</v>
      </c>
      <c r="D100">
        <v>0</v>
      </c>
      <c r="E100">
        <v>0</v>
      </c>
      <c r="F100" s="3">
        <v>30</v>
      </c>
      <c r="T100">
        <v>1</v>
      </c>
      <c r="U100" s="2">
        <v>43164</v>
      </c>
      <c r="V100">
        <v>1.9876796714579099</v>
      </c>
    </row>
    <row r="101" spans="2:22" x14ac:dyDescent="0.25">
      <c r="B101" s="1" t="s">
        <v>44</v>
      </c>
      <c r="C101" s="2">
        <v>44256</v>
      </c>
      <c r="D101">
        <v>2</v>
      </c>
      <c r="E101">
        <v>0.5</v>
      </c>
      <c r="F101" s="3">
        <v>26</v>
      </c>
      <c r="T101">
        <v>1</v>
      </c>
      <c r="U101" s="2">
        <v>43164</v>
      </c>
      <c r="V101">
        <v>1.9876796714579099</v>
      </c>
    </row>
    <row r="102" spans="2:22" x14ac:dyDescent="0.25">
      <c r="B102" s="1" t="s">
        <v>44</v>
      </c>
      <c r="C102" s="2">
        <v>44634</v>
      </c>
      <c r="F102" s="3">
        <v>26</v>
      </c>
      <c r="T102">
        <v>1</v>
      </c>
      <c r="U102" s="2">
        <v>43164</v>
      </c>
      <c r="V102">
        <v>1.9876796714579099</v>
      </c>
    </row>
    <row r="103" spans="2:22" x14ac:dyDescent="0.25">
      <c r="B103" s="1" t="s">
        <v>45</v>
      </c>
      <c r="C103" s="2">
        <v>43444</v>
      </c>
      <c r="D103">
        <v>0</v>
      </c>
      <c r="E103">
        <v>0</v>
      </c>
      <c r="F103" s="3">
        <v>30</v>
      </c>
      <c r="T103">
        <v>1</v>
      </c>
      <c r="U103" s="2">
        <v>43444</v>
      </c>
      <c r="V103">
        <v>1.6262833675564701</v>
      </c>
    </row>
    <row r="104" spans="2:22" x14ac:dyDescent="0.25">
      <c r="B104" s="1" t="s">
        <v>45</v>
      </c>
      <c r="C104" s="2">
        <v>44082</v>
      </c>
      <c r="D104">
        <v>0.5</v>
      </c>
      <c r="E104">
        <v>0.5</v>
      </c>
      <c r="F104" s="3">
        <v>29</v>
      </c>
      <c r="G104">
        <v>3581.5976693304501</v>
      </c>
      <c r="H104">
        <v>0.73385081627732895</v>
      </c>
      <c r="I104">
        <v>10833.4741645503</v>
      </c>
      <c r="J104">
        <v>0.347172957968784</v>
      </c>
      <c r="K104">
        <v>610.52362771172602</v>
      </c>
      <c r="L104">
        <v>3.5708231781368198</v>
      </c>
      <c r="M104">
        <v>860</v>
      </c>
      <c r="O104">
        <v>139.78</v>
      </c>
      <c r="P104">
        <v>3.9228000000000001</v>
      </c>
      <c r="Q104">
        <v>5.635529456557014E-2</v>
      </c>
      <c r="R104">
        <v>4.3677466569732868</v>
      </c>
      <c r="S104">
        <v>0</v>
      </c>
      <c r="T104">
        <v>1</v>
      </c>
      <c r="U104" s="2">
        <v>43444</v>
      </c>
      <c r="V104">
        <v>1.6262833675564701</v>
      </c>
    </row>
    <row r="105" spans="2:22" x14ac:dyDescent="0.25">
      <c r="B105" s="1" t="s">
        <v>45</v>
      </c>
      <c r="C105" s="2">
        <v>44495</v>
      </c>
      <c r="D105">
        <v>0.5</v>
      </c>
      <c r="E105">
        <v>0.5</v>
      </c>
      <c r="F105" s="3">
        <v>29</v>
      </c>
      <c r="T105">
        <v>1</v>
      </c>
      <c r="U105" s="2">
        <v>43444</v>
      </c>
      <c r="V105">
        <v>1.6262833675564701</v>
      </c>
    </row>
    <row r="106" spans="2:22" x14ac:dyDescent="0.25">
      <c r="B106" s="1" t="s">
        <v>45</v>
      </c>
      <c r="C106" s="2">
        <v>45014</v>
      </c>
      <c r="D106">
        <v>0.5</v>
      </c>
      <c r="E106">
        <v>0.5</v>
      </c>
      <c r="F106" s="3">
        <v>30</v>
      </c>
      <c r="T106">
        <v>1</v>
      </c>
      <c r="U106" s="2">
        <v>43444</v>
      </c>
      <c r="V106">
        <v>1.6262833675564701</v>
      </c>
    </row>
    <row r="107" spans="2:22" x14ac:dyDescent="0.25">
      <c r="B107" s="1" t="s">
        <v>46</v>
      </c>
      <c r="C107" s="2">
        <v>42783</v>
      </c>
      <c r="D107">
        <v>0</v>
      </c>
      <c r="E107">
        <v>0</v>
      </c>
      <c r="F107" s="3">
        <v>29</v>
      </c>
      <c r="T107">
        <v>1</v>
      </c>
      <c r="U107" s="2">
        <v>43588</v>
      </c>
      <c r="V107">
        <v>3.4223134839151301</v>
      </c>
    </row>
    <row r="108" spans="2:22" x14ac:dyDescent="0.25">
      <c r="B108" s="1" t="s">
        <v>46</v>
      </c>
      <c r="C108" s="2">
        <v>43171</v>
      </c>
      <c r="D108">
        <v>0.5</v>
      </c>
      <c r="E108">
        <v>0.5</v>
      </c>
      <c r="F108" s="3">
        <v>29</v>
      </c>
      <c r="T108">
        <v>1</v>
      </c>
      <c r="U108" s="2">
        <v>43588</v>
      </c>
      <c r="V108">
        <v>3.4223134839151301</v>
      </c>
    </row>
    <row r="109" spans="2:22" x14ac:dyDescent="0.25">
      <c r="B109" s="1" t="s">
        <v>46</v>
      </c>
      <c r="C109" s="2">
        <v>43588</v>
      </c>
      <c r="D109">
        <v>0.5</v>
      </c>
      <c r="E109">
        <v>0.5</v>
      </c>
      <c r="F109" s="3">
        <v>29</v>
      </c>
      <c r="T109">
        <v>1</v>
      </c>
      <c r="U109" s="2">
        <v>43588</v>
      </c>
      <c r="V109">
        <v>3.4223134839151301</v>
      </c>
    </row>
    <row r="110" spans="2:22" x14ac:dyDescent="0.25">
      <c r="B110" s="1" t="s">
        <v>47</v>
      </c>
      <c r="C110" s="2">
        <v>43712</v>
      </c>
      <c r="D110">
        <v>1.5</v>
      </c>
      <c r="E110">
        <v>0.5</v>
      </c>
      <c r="F110" s="3">
        <v>30</v>
      </c>
      <c r="T110">
        <v>1</v>
      </c>
      <c r="U110" s="2">
        <v>45175</v>
      </c>
      <c r="V110">
        <v>5.0787132101300498</v>
      </c>
    </row>
    <row r="111" spans="2:22" x14ac:dyDescent="0.25">
      <c r="B111" s="1" t="s">
        <v>47</v>
      </c>
      <c r="C111" s="2">
        <v>44125</v>
      </c>
      <c r="D111">
        <v>3.5</v>
      </c>
      <c r="E111">
        <v>0.5</v>
      </c>
      <c r="F111" s="3">
        <v>30</v>
      </c>
      <c r="T111">
        <v>1</v>
      </c>
      <c r="U111" s="2">
        <v>45175</v>
      </c>
      <c r="V111">
        <v>5.0787132101300498</v>
      </c>
    </row>
    <row r="112" spans="2:22" x14ac:dyDescent="0.25">
      <c r="B112" s="1" t="s">
        <v>47</v>
      </c>
      <c r="C112" s="2">
        <v>44510</v>
      </c>
      <c r="D112">
        <v>2</v>
      </c>
      <c r="E112">
        <v>0.5</v>
      </c>
      <c r="F112" s="3">
        <v>29</v>
      </c>
      <c r="I112">
        <v>14914</v>
      </c>
      <c r="K112">
        <v>808</v>
      </c>
      <c r="M112">
        <v>610</v>
      </c>
      <c r="O112">
        <v>107.8</v>
      </c>
      <c r="Q112">
        <v>5.4177283089714361E-2</v>
      </c>
      <c r="R112">
        <v>7.4953617810760669</v>
      </c>
      <c r="S112">
        <v>1</v>
      </c>
      <c r="T112">
        <v>1</v>
      </c>
      <c r="U112" s="2">
        <v>45175</v>
      </c>
      <c r="V112">
        <v>5.0787132101300498</v>
      </c>
    </row>
    <row r="113" spans="2:22" x14ac:dyDescent="0.25">
      <c r="B113" s="1" t="s">
        <v>47</v>
      </c>
      <c r="C113" s="2">
        <v>44860</v>
      </c>
      <c r="D113" t="s">
        <v>31</v>
      </c>
      <c r="E113">
        <v>0.5</v>
      </c>
      <c r="F113" s="3">
        <v>28</v>
      </c>
      <c r="T113">
        <v>1</v>
      </c>
      <c r="U113" s="2">
        <v>45175</v>
      </c>
      <c r="V113">
        <v>5.0787132101300498</v>
      </c>
    </row>
    <row r="114" spans="2:22" x14ac:dyDescent="0.25">
      <c r="B114" s="1" t="s">
        <v>47</v>
      </c>
      <c r="C114" s="2">
        <v>45175</v>
      </c>
      <c r="D114">
        <v>1</v>
      </c>
      <c r="E114">
        <v>0.5</v>
      </c>
      <c r="F114" s="3">
        <v>28</v>
      </c>
      <c r="T114">
        <v>1</v>
      </c>
      <c r="U114" s="2">
        <v>45175</v>
      </c>
      <c r="V114">
        <v>5.0787132101300498</v>
      </c>
    </row>
    <row r="115" spans="2:22" x14ac:dyDescent="0.25">
      <c r="B115" s="1" t="s">
        <v>48</v>
      </c>
      <c r="C115" s="2">
        <v>42401</v>
      </c>
      <c r="D115">
        <v>0</v>
      </c>
      <c r="E115">
        <v>0</v>
      </c>
      <c r="F115" s="3">
        <v>30</v>
      </c>
      <c r="T115">
        <v>1</v>
      </c>
      <c r="U115" s="2">
        <v>43514</v>
      </c>
      <c r="V115">
        <v>3.90965092402464</v>
      </c>
    </row>
    <row r="116" spans="2:22" x14ac:dyDescent="0.25">
      <c r="B116" s="1" t="s">
        <v>48</v>
      </c>
      <c r="C116" s="2">
        <v>42828</v>
      </c>
      <c r="D116">
        <v>0.5</v>
      </c>
      <c r="E116">
        <v>0</v>
      </c>
      <c r="F116" s="3">
        <v>28</v>
      </c>
      <c r="G116">
        <v>4046.5555411800701</v>
      </c>
      <c r="H116">
        <v>3.6130734023378199</v>
      </c>
      <c r="I116">
        <v>9514.1297632894002</v>
      </c>
      <c r="J116">
        <v>2.3590083322097799</v>
      </c>
      <c r="K116">
        <v>1104.5988464981999</v>
      </c>
      <c r="L116">
        <v>2.18002940468137</v>
      </c>
      <c r="M116">
        <v>361.70196777594902</v>
      </c>
      <c r="N116">
        <v>2.39247971242207</v>
      </c>
      <c r="O116">
        <v>57.311999999999998</v>
      </c>
      <c r="P116">
        <v>2.2734000000000001</v>
      </c>
      <c r="Q116">
        <v>0.1161008808982544</v>
      </c>
      <c r="R116">
        <v>19.27343045955821</v>
      </c>
      <c r="S116">
        <v>0</v>
      </c>
      <c r="T116">
        <v>1</v>
      </c>
      <c r="U116" s="2">
        <v>43514</v>
      </c>
      <c r="V116">
        <v>3.90965092402464</v>
      </c>
    </row>
    <row r="117" spans="2:22" x14ac:dyDescent="0.25">
      <c r="B117" s="1" t="s">
        <v>48</v>
      </c>
      <c r="C117" s="2">
        <v>43209</v>
      </c>
      <c r="D117">
        <v>1.5</v>
      </c>
      <c r="E117">
        <v>0.5</v>
      </c>
      <c r="F117" s="3">
        <v>29</v>
      </c>
      <c r="T117">
        <v>1</v>
      </c>
      <c r="U117" s="2">
        <v>43514</v>
      </c>
      <c r="V117">
        <v>3.90965092402464</v>
      </c>
    </row>
    <row r="118" spans="2:22" x14ac:dyDescent="0.25">
      <c r="B118" s="1" t="s">
        <v>48</v>
      </c>
      <c r="C118" s="2">
        <v>43514</v>
      </c>
      <c r="D118">
        <v>0</v>
      </c>
      <c r="E118">
        <v>0</v>
      </c>
      <c r="F118" s="3">
        <v>28</v>
      </c>
      <c r="G118">
        <v>4602.2962861453498</v>
      </c>
      <c r="H118">
        <v>5.7995643006497302</v>
      </c>
      <c r="I118">
        <v>12668.2543047328</v>
      </c>
      <c r="J118">
        <v>3.9656802634369201</v>
      </c>
      <c r="K118">
        <v>1622.20638036635</v>
      </c>
      <c r="L118">
        <v>3.5234125708915101</v>
      </c>
      <c r="M118">
        <v>465.727488630121</v>
      </c>
      <c r="N118">
        <v>1.2198206634851301</v>
      </c>
      <c r="O118">
        <v>69.385000000000005</v>
      </c>
      <c r="P118">
        <v>0.52805000000000002</v>
      </c>
      <c r="Q118">
        <v>0.12805287463800771</v>
      </c>
      <c r="R118">
        <v>23.379784973212509</v>
      </c>
      <c r="S118">
        <v>0</v>
      </c>
      <c r="T118">
        <v>1</v>
      </c>
      <c r="U118" s="2">
        <v>43514</v>
      </c>
      <c r="V118">
        <v>3.90965092402464</v>
      </c>
    </row>
    <row r="119" spans="2:22" x14ac:dyDescent="0.25">
      <c r="B119" s="1" t="s">
        <v>48</v>
      </c>
      <c r="C119" s="2">
        <v>43887</v>
      </c>
      <c r="D119">
        <v>3</v>
      </c>
      <c r="E119">
        <v>0.5</v>
      </c>
      <c r="F119" s="3">
        <v>29</v>
      </c>
      <c r="T119">
        <v>1</v>
      </c>
      <c r="U119" s="2">
        <v>43514</v>
      </c>
      <c r="V119">
        <v>3.90965092402464</v>
      </c>
    </row>
    <row r="120" spans="2:22" x14ac:dyDescent="0.25">
      <c r="B120" s="1" t="s">
        <v>48</v>
      </c>
      <c r="C120" s="2">
        <v>44314</v>
      </c>
      <c r="D120">
        <v>0.5</v>
      </c>
      <c r="E120">
        <v>0.5</v>
      </c>
      <c r="F120" s="3">
        <v>29</v>
      </c>
      <c r="T120">
        <v>1</v>
      </c>
      <c r="U120" s="2">
        <v>43514</v>
      </c>
      <c r="V120">
        <v>3.90965092402464</v>
      </c>
    </row>
    <row r="121" spans="2:22" x14ac:dyDescent="0.25">
      <c r="B121" s="1" t="s">
        <v>48</v>
      </c>
      <c r="C121" s="2">
        <v>44671</v>
      </c>
      <c r="D121">
        <v>4</v>
      </c>
      <c r="E121">
        <v>0.5</v>
      </c>
      <c r="F121" s="3">
        <v>29</v>
      </c>
      <c r="T121">
        <v>1</v>
      </c>
      <c r="U121" s="2">
        <v>43514</v>
      </c>
      <c r="V121">
        <v>3.90965092402464</v>
      </c>
    </row>
    <row r="122" spans="2:22" x14ac:dyDescent="0.25">
      <c r="B122" s="1" t="s">
        <v>48</v>
      </c>
      <c r="C122" s="2">
        <v>44979</v>
      </c>
      <c r="D122">
        <v>4.5</v>
      </c>
      <c r="E122">
        <v>0.5</v>
      </c>
      <c r="F122" s="3">
        <v>27</v>
      </c>
      <c r="T122">
        <v>1</v>
      </c>
      <c r="U122" s="2">
        <v>43514</v>
      </c>
      <c r="V122">
        <v>3.90965092402464</v>
      </c>
    </row>
    <row r="123" spans="2:22" x14ac:dyDescent="0.25">
      <c r="B123" s="1" t="s">
        <v>49</v>
      </c>
      <c r="C123" s="2">
        <v>42943</v>
      </c>
      <c r="D123">
        <v>0.5</v>
      </c>
      <c r="E123">
        <v>0.5</v>
      </c>
      <c r="F123" s="3">
        <v>28</v>
      </c>
      <c r="T123">
        <v>1</v>
      </c>
      <c r="U123" s="2">
        <v>42943</v>
      </c>
      <c r="V123">
        <v>0.96098562628336803</v>
      </c>
    </row>
    <row r="124" spans="2:22" x14ac:dyDescent="0.25">
      <c r="B124" s="1" t="s">
        <v>49</v>
      </c>
      <c r="C124" s="2">
        <v>43325</v>
      </c>
      <c r="D124">
        <v>1</v>
      </c>
      <c r="E124">
        <v>0.5</v>
      </c>
      <c r="F124" s="3">
        <v>28</v>
      </c>
      <c r="T124">
        <v>1</v>
      </c>
      <c r="U124" s="2">
        <v>42943</v>
      </c>
      <c r="V124">
        <v>0.96098562628336803</v>
      </c>
    </row>
    <row r="125" spans="2:22" x14ac:dyDescent="0.25">
      <c r="B125" s="1" t="s">
        <v>49</v>
      </c>
      <c r="C125" s="2">
        <v>43654</v>
      </c>
      <c r="D125">
        <v>0</v>
      </c>
      <c r="E125">
        <v>0</v>
      </c>
      <c r="F125" s="3">
        <v>30</v>
      </c>
      <c r="T125">
        <v>1</v>
      </c>
      <c r="U125" s="2">
        <v>42943</v>
      </c>
      <c r="V125">
        <v>0.96098562628336803</v>
      </c>
    </row>
    <row r="126" spans="2:22" x14ac:dyDescent="0.25">
      <c r="B126" s="1" t="s">
        <v>49</v>
      </c>
      <c r="C126" s="2">
        <v>44015</v>
      </c>
      <c r="D126">
        <v>3</v>
      </c>
      <c r="E126">
        <v>0.5</v>
      </c>
      <c r="F126" s="3">
        <v>30</v>
      </c>
      <c r="T126">
        <v>1</v>
      </c>
      <c r="U126" s="2">
        <v>42943</v>
      </c>
      <c r="V126">
        <v>0.96098562628336803</v>
      </c>
    </row>
    <row r="127" spans="2:22" x14ac:dyDescent="0.25">
      <c r="B127" s="1" t="s">
        <v>50</v>
      </c>
      <c r="C127" s="2">
        <v>42431</v>
      </c>
      <c r="D127">
        <v>0</v>
      </c>
      <c r="E127">
        <v>0</v>
      </c>
      <c r="F127" s="3">
        <v>30</v>
      </c>
      <c r="T127">
        <v>1</v>
      </c>
      <c r="U127" s="2">
        <v>44655</v>
      </c>
      <c r="V127">
        <v>7.0280629705680999</v>
      </c>
    </row>
    <row r="128" spans="2:22" x14ac:dyDescent="0.25">
      <c r="B128" s="1" t="s">
        <v>50</v>
      </c>
      <c r="C128" s="2">
        <v>42824</v>
      </c>
      <c r="D128">
        <v>0</v>
      </c>
      <c r="E128">
        <v>0</v>
      </c>
      <c r="F128" s="3">
        <v>30</v>
      </c>
      <c r="T128">
        <v>1</v>
      </c>
      <c r="U128" s="2">
        <v>44655</v>
      </c>
      <c r="V128">
        <v>7.0280629705680999</v>
      </c>
    </row>
    <row r="129" spans="2:22" x14ac:dyDescent="0.25">
      <c r="B129" s="1" t="s">
        <v>50</v>
      </c>
      <c r="C129" s="2">
        <v>43164</v>
      </c>
      <c r="D129">
        <v>0</v>
      </c>
      <c r="E129">
        <v>0</v>
      </c>
      <c r="F129" s="3">
        <v>29</v>
      </c>
      <c r="T129">
        <v>1</v>
      </c>
      <c r="U129" s="2">
        <v>44655</v>
      </c>
      <c r="V129">
        <v>7.0280629705680999</v>
      </c>
    </row>
    <row r="130" spans="2:22" x14ac:dyDescent="0.25">
      <c r="B130" s="1" t="s">
        <v>50</v>
      </c>
      <c r="C130" s="2">
        <v>43556</v>
      </c>
      <c r="D130">
        <v>0</v>
      </c>
      <c r="E130">
        <v>0</v>
      </c>
      <c r="F130" s="3">
        <v>30</v>
      </c>
      <c r="T130">
        <v>1</v>
      </c>
      <c r="U130" s="2">
        <v>44655</v>
      </c>
      <c r="V130">
        <v>7.0280629705680999</v>
      </c>
    </row>
    <row r="131" spans="2:22" x14ac:dyDescent="0.25">
      <c r="B131" s="1" t="s">
        <v>50</v>
      </c>
      <c r="C131" s="2">
        <v>43950</v>
      </c>
      <c r="D131">
        <v>0</v>
      </c>
      <c r="E131">
        <v>0</v>
      </c>
      <c r="F131" s="3"/>
      <c r="T131">
        <v>1</v>
      </c>
      <c r="U131" s="2">
        <v>44655</v>
      </c>
      <c r="V131">
        <v>7.0280629705680999</v>
      </c>
    </row>
    <row r="132" spans="2:22" x14ac:dyDescent="0.25">
      <c r="B132" s="1" t="s">
        <v>50</v>
      </c>
      <c r="C132" s="2">
        <v>44039</v>
      </c>
      <c r="D132">
        <v>0</v>
      </c>
      <c r="E132">
        <v>0</v>
      </c>
      <c r="F132" s="3">
        <v>29</v>
      </c>
      <c r="T132">
        <v>1</v>
      </c>
      <c r="U132" s="2">
        <v>44655</v>
      </c>
      <c r="V132">
        <v>7.0280629705680999</v>
      </c>
    </row>
    <row r="133" spans="2:22" x14ac:dyDescent="0.25">
      <c r="B133" s="1" t="s">
        <v>50</v>
      </c>
      <c r="C133" s="2">
        <v>44277</v>
      </c>
      <c r="D133">
        <v>0</v>
      </c>
      <c r="E133">
        <v>0</v>
      </c>
      <c r="F133" s="3">
        <v>28</v>
      </c>
      <c r="T133">
        <v>1</v>
      </c>
      <c r="U133" s="2">
        <v>44655</v>
      </c>
      <c r="V133">
        <v>7.0280629705680999</v>
      </c>
    </row>
    <row r="134" spans="2:22" x14ac:dyDescent="0.25">
      <c r="B134" s="1" t="s">
        <v>50</v>
      </c>
      <c r="C134" s="2">
        <v>44655</v>
      </c>
      <c r="D134">
        <v>0</v>
      </c>
      <c r="E134">
        <v>0</v>
      </c>
      <c r="F134" s="3">
        <v>29</v>
      </c>
      <c r="T134">
        <v>1</v>
      </c>
      <c r="U134" s="2">
        <v>44655</v>
      </c>
      <c r="V134">
        <v>7.0280629705680999</v>
      </c>
    </row>
    <row r="135" spans="2:22" x14ac:dyDescent="0.25">
      <c r="B135" s="1" t="s">
        <v>51</v>
      </c>
      <c r="C135" s="2">
        <v>42544</v>
      </c>
      <c r="D135">
        <v>0</v>
      </c>
      <c r="E135">
        <v>0</v>
      </c>
      <c r="F135" s="3">
        <v>29</v>
      </c>
      <c r="T135">
        <v>1</v>
      </c>
      <c r="U135" s="2">
        <v>44358</v>
      </c>
      <c r="V135">
        <v>5.9822039698836402</v>
      </c>
    </row>
    <row r="136" spans="2:22" x14ac:dyDescent="0.25">
      <c r="B136" s="1" t="s">
        <v>51</v>
      </c>
      <c r="C136" s="2">
        <v>42908</v>
      </c>
      <c r="D136">
        <v>0</v>
      </c>
      <c r="E136">
        <v>0</v>
      </c>
      <c r="F136" s="3">
        <v>29</v>
      </c>
      <c r="G136">
        <v>3327.9508902942998</v>
      </c>
      <c r="H136">
        <v>6.1298250222407598</v>
      </c>
      <c r="I136">
        <v>9355.2189737157096</v>
      </c>
      <c r="J136">
        <v>2.0423287386407498</v>
      </c>
      <c r="K136">
        <v>1102.4906915583599</v>
      </c>
      <c r="L136">
        <v>2.0925961430009301</v>
      </c>
      <c r="M136">
        <v>403.08925710846302</v>
      </c>
      <c r="N136">
        <v>1.40566354727868</v>
      </c>
      <c r="O136">
        <v>54.908000000000001</v>
      </c>
      <c r="P136">
        <v>1.1424000000000001</v>
      </c>
      <c r="Q136">
        <v>0.11784766285598471</v>
      </c>
      <c r="R136">
        <v>20.078871777488889</v>
      </c>
      <c r="S136">
        <v>0</v>
      </c>
      <c r="T136">
        <v>1</v>
      </c>
      <c r="U136" s="2">
        <v>44358</v>
      </c>
      <c r="V136">
        <v>5.9822039698836402</v>
      </c>
    </row>
    <row r="137" spans="2:22" x14ac:dyDescent="0.25">
      <c r="B137" s="1" t="s">
        <v>51</v>
      </c>
      <c r="C137" s="2">
        <v>43292</v>
      </c>
      <c r="D137">
        <v>0</v>
      </c>
      <c r="E137">
        <v>0</v>
      </c>
      <c r="F137" s="3">
        <v>28</v>
      </c>
      <c r="T137">
        <v>1</v>
      </c>
      <c r="U137" s="2">
        <v>44358</v>
      </c>
      <c r="V137">
        <v>5.9822039698836402</v>
      </c>
    </row>
    <row r="138" spans="2:22" x14ac:dyDescent="0.25">
      <c r="B138" s="1" t="s">
        <v>51</v>
      </c>
      <c r="C138" s="2">
        <v>43621</v>
      </c>
      <c r="D138">
        <v>0</v>
      </c>
      <c r="E138">
        <v>0</v>
      </c>
      <c r="F138" s="3">
        <v>27</v>
      </c>
      <c r="T138">
        <v>1</v>
      </c>
      <c r="U138" s="2">
        <v>44358</v>
      </c>
      <c r="V138">
        <v>5.9822039698836402</v>
      </c>
    </row>
    <row r="139" spans="2:22" x14ac:dyDescent="0.25">
      <c r="B139" s="1" t="s">
        <v>51</v>
      </c>
      <c r="C139" s="2">
        <v>44040</v>
      </c>
      <c r="D139">
        <v>0</v>
      </c>
      <c r="E139">
        <v>0</v>
      </c>
      <c r="F139" s="3">
        <v>29</v>
      </c>
      <c r="T139">
        <v>1</v>
      </c>
      <c r="U139" s="2">
        <v>44358</v>
      </c>
      <c r="V139">
        <v>5.9822039698836402</v>
      </c>
    </row>
    <row r="140" spans="2:22" x14ac:dyDescent="0.25">
      <c r="B140" s="1" t="s">
        <v>51</v>
      </c>
      <c r="C140" s="2">
        <v>44358</v>
      </c>
      <c r="D140">
        <v>0.5</v>
      </c>
      <c r="E140">
        <v>0</v>
      </c>
      <c r="F140" s="3">
        <v>29</v>
      </c>
      <c r="T140">
        <v>1</v>
      </c>
      <c r="U140" s="2">
        <v>44358</v>
      </c>
      <c r="V140">
        <v>5.9822039698836402</v>
      </c>
    </row>
    <row r="141" spans="2:22" x14ac:dyDescent="0.25">
      <c r="B141" s="1" t="s">
        <v>51</v>
      </c>
      <c r="C141" s="2">
        <v>44792</v>
      </c>
      <c r="D141">
        <v>1</v>
      </c>
      <c r="E141">
        <v>0.5</v>
      </c>
      <c r="F141" s="3">
        <v>26</v>
      </c>
      <c r="I141">
        <v>12812</v>
      </c>
      <c r="K141">
        <v>1448</v>
      </c>
      <c r="M141">
        <v>347</v>
      </c>
      <c r="O141">
        <v>42.9</v>
      </c>
      <c r="Q141">
        <v>0.1130190446456447</v>
      </c>
      <c r="R141">
        <v>33.752913752913756</v>
      </c>
      <c r="S141">
        <v>1</v>
      </c>
      <c r="T141">
        <v>1</v>
      </c>
      <c r="U141" s="2">
        <v>44358</v>
      </c>
      <c r="V141">
        <v>5.9822039698836402</v>
      </c>
    </row>
    <row r="142" spans="2:22" x14ac:dyDescent="0.25">
      <c r="B142" s="1" t="s">
        <v>52</v>
      </c>
      <c r="C142" s="2">
        <v>42499</v>
      </c>
      <c r="D142">
        <v>3.5</v>
      </c>
      <c r="E142">
        <v>0.5</v>
      </c>
      <c r="F142" s="3">
        <v>27</v>
      </c>
      <c r="T142">
        <v>1</v>
      </c>
      <c r="U142" s="2">
        <v>42499</v>
      </c>
      <c r="V142">
        <v>1.0102669404517499</v>
      </c>
    </row>
    <row r="143" spans="2:22" x14ac:dyDescent="0.25">
      <c r="B143" s="1" t="s">
        <v>53</v>
      </c>
      <c r="C143" s="2">
        <v>42676</v>
      </c>
      <c r="D143">
        <v>1.5</v>
      </c>
      <c r="E143">
        <v>0.5</v>
      </c>
      <c r="F143" s="3">
        <v>27</v>
      </c>
      <c r="T143">
        <v>1</v>
      </c>
      <c r="U143" s="2">
        <v>43775</v>
      </c>
      <c r="V143">
        <v>4.2409308692676202</v>
      </c>
    </row>
    <row r="144" spans="2:22" x14ac:dyDescent="0.25">
      <c r="B144" s="1" t="s">
        <v>53</v>
      </c>
      <c r="C144" s="2">
        <v>43032</v>
      </c>
      <c r="D144">
        <v>1.5</v>
      </c>
      <c r="E144">
        <v>0.5</v>
      </c>
      <c r="F144" s="3">
        <v>28</v>
      </c>
      <c r="T144">
        <v>1</v>
      </c>
      <c r="U144" s="2">
        <v>43775</v>
      </c>
      <c r="V144">
        <v>4.2409308692676202</v>
      </c>
    </row>
    <row r="145" spans="2:22" x14ac:dyDescent="0.25">
      <c r="B145" s="1" t="s">
        <v>53</v>
      </c>
      <c r="C145" s="2">
        <v>43397</v>
      </c>
      <c r="D145">
        <v>1.5</v>
      </c>
      <c r="E145">
        <v>0.5</v>
      </c>
      <c r="F145" s="3">
        <v>30</v>
      </c>
      <c r="T145">
        <v>1</v>
      </c>
      <c r="U145" s="2">
        <v>43775</v>
      </c>
      <c r="V145">
        <v>4.2409308692676202</v>
      </c>
    </row>
    <row r="146" spans="2:22" x14ac:dyDescent="0.25">
      <c r="B146" s="1" t="s">
        <v>53</v>
      </c>
      <c r="C146" s="2">
        <v>43775</v>
      </c>
      <c r="D146">
        <v>1.5</v>
      </c>
      <c r="E146">
        <v>0.5</v>
      </c>
      <c r="F146" s="3">
        <v>29</v>
      </c>
      <c r="T146">
        <v>1</v>
      </c>
      <c r="U146" s="2">
        <v>43775</v>
      </c>
      <c r="V146">
        <v>4.2409308692676202</v>
      </c>
    </row>
    <row r="147" spans="2:22" x14ac:dyDescent="0.25">
      <c r="B147" s="1" t="s">
        <v>53</v>
      </c>
      <c r="C147" s="2">
        <v>44313</v>
      </c>
      <c r="D147">
        <v>1.5</v>
      </c>
      <c r="E147">
        <v>0.5</v>
      </c>
      <c r="F147" s="3"/>
      <c r="T147">
        <v>1</v>
      </c>
      <c r="U147" s="2">
        <v>43775</v>
      </c>
      <c r="V147">
        <v>4.2409308692676202</v>
      </c>
    </row>
    <row r="148" spans="2:22" x14ac:dyDescent="0.25">
      <c r="B148" s="1" t="s">
        <v>54</v>
      </c>
      <c r="C148" s="2">
        <v>42412</v>
      </c>
      <c r="D148">
        <v>1.5</v>
      </c>
      <c r="E148">
        <v>0.5</v>
      </c>
      <c r="F148" s="3">
        <v>28</v>
      </c>
      <c r="T148">
        <v>1</v>
      </c>
      <c r="U148" s="2">
        <v>42807</v>
      </c>
      <c r="V148">
        <v>2.0123203285420899</v>
      </c>
    </row>
    <row r="149" spans="2:22" x14ac:dyDescent="0.25">
      <c r="B149" s="1" t="s">
        <v>54</v>
      </c>
      <c r="C149" s="2">
        <v>42807</v>
      </c>
      <c r="D149">
        <v>1.5</v>
      </c>
      <c r="E149">
        <v>0.5</v>
      </c>
      <c r="F149" s="3">
        <v>27</v>
      </c>
      <c r="G149">
        <v>2137.6856107443</v>
      </c>
      <c r="H149">
        <v>3.9303212510688899</v>
      </c>
      <c r="I149">
        <v>6064.7733572192501</v>
      </c>
      <c r="J149">
        <v>2.8963856303238198</v>
      </c>
      <c r="K149">
        <v>341.88943676708197</v>
      </c>
      <c r="L149">
        <v>4.62385518275698</v>
      </c>
      <c r="M149">
        <v>424.58272897797502</v>
      </c>
      <c r="N149">
        <v>1.39144325215942</v>
      </c>
      <c r="O149">
        <v>62.707999999999998</v>
      </c>
      <c r="P149">
        <v>4.3422000000000001</v>
      </c>
      <c r="Q149">
        <v>5.6372994773186573E-2</v>
      </c>
      <c r="R149">
        <v>5.4520864445857304</v>
      </c>
      <c r="S149">
        <v>0</v>
      </c>
      <c r="T149">
        <v>1</v>
      </c>
      <c r="U149" s="2">
        <v>42807</v>
      </c>
      <c r="V149">
        <v>2.0123203285420899</v>
      </c>
    </row>
    <row r="150" spans="2:22" x14ac:dyDescent="0.25">
      <c r="B150" s="1" t="s">
        <v>54</v>
      </c>
      <c r="C150" s="2">
        <v>44287</v>
      </c>
      <c r="D150">
        <v>7</v>
      </c>
      <c r="E150">
        <v>1</v>
      </c>
      <c r="F150" s="3">
        <v>26</v>
      </c>
      <c r="I150">
        <v>8527</v>
      </c>
      <c r="K150">
        <v>444</v>
      </c>
      <c r="M150">
        <v>472</v>
      </c>
      <c r="O150">
        <v>78.5</v>
      </c>
      <c r="Q150">
        <v>5.2069895625659668E-2</v>
      </c>
      <c r="R150">
        <v>5.6560509554140124</v>
      </c>
      <c r="S150">
        <v>1</v>
      </c>
      <c r="T150">
        <v>1</v>
      </c>
      <c r="U150" s="2">
        <v>42807</v>
      </c>
      <c r="V150">
        <v>2.0123203285420899</v>
      </c>
    </row>
    <row r="151" spans="2:22" x14ac:dyDescent="0.25">
      <c r="B151" s="1" t="s">
        <v>54</v>
      </c>
      <c r="C151" s="2">
        <v>44566</v>
      </c>
      <c r="D151">
        <v>11</v>
      </c>
      <c r="E151">
        <v>2</v>
      </c>
      <c r="F151" s="3">
        <v>19</v>
      </c>
      <c r="T151">
        <v>1</v>
      </c>
      <c r="U151" s="2">
        <v>42807</v>
      </c>
      <c r="V151">
        <v>2.0123203285420899</v>
      </c>
    </row>
    <row r="152" spans="2:22" x14ac:dyDescent="0.25">
      <c r="B152" s="1" t="s">
        <v>55</v>
      </c>
      <c r="C152" s="2">
        <v>43578</v>
      </c>
      <c r="D152">
        <v>0</v>
      </c>
      <c r="E152">
        <v>0</v>
      </c>
      <c r="F152" s="3">
        <v>30</v>
      </c>
      <c r="T152">
        <v>1</v>
      </c>
      <c r="U152" s="2">
        <v>43977</v>
      </c>
      <c r="V152">
        <v>2.0862422997946601</v>
      </c>
    </row>
    <row r="153" spans="2:22" x14ac:dyDescent="0.25">
      <c r="B153" s="1" t="s">
        <v>55</v>
      </c>
      <c r="C153" s="2">
        <v>43977</v>
      </c>
      <c r="D153">
        <v>0</v>
      </c>
      <c r="E153">
        <v>0</v>
      </c>
      <c r="F153" s="3">
        <v>29</v>
      </c>
      <c r="T153">
        <v>1</v>
      </c>
      <c r="U153" s="2">
        <v>43977</v>
      </c>
      <c r="V153">
        <v>2.0862422997946601</v>
      </c>
    </row>
    <row r="154" spans="2:22" x14ac:dyDescent="0.25">
      <c r="B154" s="1" t="s">
        <v>55</v>
      </c>
      <c r="C154" s="2">
        <v>44350</v>
      </c>
      <c r="D154">
        <v>2</v>
      </c>
      <c r="E154">
        <v>0.5</v>
      </c>
      <c r="F154" s="3">
        <v>30</v>
      </c>
      <c r="T154">
        <v>1</v>
      </c>
      <c r="U154" s="2">
        <v>43977</v>
      </c>
      <c r="V154">
        <v>2.0862422997946601</v>
      </c>
    </row>
    <row r="155" spans="2:22" x14ac:dyDescent="0.25">
      <c r="B155" s="1" t="s">
        <v>56</v>
      </c>
      <c r="C155" s="2">
        <v>42877</v>
      </c>
      <c r="D155">
        <v>0</v>
      </c>
      <c r="E155">
        <v>0</v>
      </c>
      <c r="F155" s="3">
        <v>30</v>
      </c>
      <c r="T155">
        <v>1</v>
      </c>
      <c r="U155" s="2">
        <v>44298</v>
      </c>
      <c r="V155">
        <v>5.13073237508556</v>
      </c>
    </row>
    <row r="156" spans="2:22" x14ac:dyDescent="0.25">
      <c r="B156" s="1" t="s">
        <v>56</v>
      </c>
      <c r="C156" s="2">
        <v>43178</v>
      </c>
      <c r="D156">
        <v>0</v>
      </c>
      <c r="E156">
        <v>0</v>
      </c>
      <c r="F156" s="3">
        <v>30</v>
      </c>
      <c r="T156">
        <v>1</v>
      </c>
      <c r="U156" s="2">
        <v>44298</v>
      </c>
      <c r="V156">
        <v>5.13073237508556</v>
      </c>
    </row>
    <row r="157" spans="2:22" x14ac:dyDescent="0.25">
      <c r="B157" s="1" t="s">
        <v>56</v>
      </c>
      <c r="C157" s="2">
        <v>43509</v>
      </c>
      <c r="D157">
        <v>0</v>
      </c>
      <c r="E157">
        <v>0</v>
      </c>
      <c r="F157" s="3">
        <v>30</v>
      </c>
      <c r="T157">
        <v>1</v>
      </c>
      <c r="U157" s="2">
        <v>44298</v>
      </c>
      <c r="V157">
        <v>5.13073237508556</v>
      </c>
    </row>
    <row r="158" spans="2:22" x14ac:dyDescent="0.25">
      <c r="B158" s="1" t="s">
        <v>56</v>
      </c>
      <c r="C158" s="2">
        <v>44018</v>
      </c>
      <c r="D158">
        <v>0</v>
      </c>
      <c r="E158">
        <v>0</v>
      </c>
      <c r="F158" s="3">
        <v>30</v>
      </c>
      <c r="T158">
        <v>1</v>
      </c>
      <c r="U158" s="2">
        <v>44298</v>
      </c>
      <c r="V158">
        <v>5.13073237508556</v>
      </c>
    </row>
    <row r="159" spans="2:22" x14ac:dyDescent="0.25">
      <c r="B159" s="1" t="s">
        <v>56</v>
      </c>
      <c r="C159" s="2">
        <v>44298</v>
      </c>
      <c r="D159">
        <v>1</v>
      </c>
      <c r="E159">
        <v>0.5</v>
      </c>
      <c r="F159" s="3">
        <v>30</v>
      </c>
      <c r="T159">
        <v>1</v>
      </c>
      <c r="U159" s="2">
        <v>44298</v>
      </c>
      <c r="V159">
        <v>5.13073237508556</v>
      </c>
    </row>
    <row r="160" spans="2:22" x14ac:dyDescent="0.25">
      <c r="B160" s="1" t="s">
        <v>56</v>
      </c>
      <c r="C160" s="2">
        <v>44900</v>
      </c>
      <c r="D160">
        <v>0.5</v>
      </c>
      <c r="E160">
        <v>0.5</v>
      </c>
      <c r="F160" s="3">
        <v>30</v>
      </c>
      <c r="T160">
        <v>1</v>
      </c>
      <c r="U160" s="2">
        <v>44298</v>
      </c>
      <c r="V160">
        <v>5.13073237508556</v>
      </c>
    </row>
    <row r="161" spans="2:22" x14ac:dyDescent="0.25">
      <c r="B161" s="1" t="s">
        <v>56</v>
      </c>
      <c r="C161" s="2">
        <v>45243</v>
      </c>
      <c r="D161">
        <v>0.5</v>
      </c>
      <c r="E161">
        <v>0.5</v>
      </c>
      <c r="F161" s="3">
        <v>30</v>
      </c>
      <c r="T161">
        <v>1</v>
      </c>
      <c r="U161" s="2">
        <v>44298</v>
      </c>
      <c r="V161">
        <v>5.13073237508556</v>
      </c>
    </row>
    <row r="162" spans="2:22" x14ac:dyDescent="0.25">
      <c r="B162" s="1" t="s">
        <v>57</v>
      </c>
      <c r="C162" s="2">
        <v>43691</v>
      </c>
      <c r="D162">
        <v>1.5</v>
      </c>
      <c r="E162">
        <v>0.5</v>
      </c>
      <c r="F162" s="3">
        <v>30</v>
      </c>
      <c r="T162">
        <v>1</v>
      </c>
      <c r="U162" s="2">
        <v>45169</v>
      </c>
      <c r="V162">
        <v>5.0978781656399699</v>
      </c>
    </row>
    <row r="163" spans="2:22" x14ac:dyDescent="0.25">
      <c r="B163" s="1" t="s">
        <v>57</v>
      </c>
      <c r="C163" s="2">
        <v>44039</v>
      </c>
      <c r="D163">
        <v>1.5</v>
      </c>
      <c r="E163">
        <v>0.5</v>
      </c>
      <c r="F163" s="3">
        <v>30</v>
      </c>
      <c r="G163">
        <v>2429.6405985582601</v>
      </c>
      <c r="H163">
        <v>8.4827725198997896</v>
      </c>
      <c r="I163">
        <v>6330.1993295345101</v>
      </c>
      <c r="J163">
        <v>6.0757894443834601</v>
      </c>
      <c r="K163">
        <v>285.42900708395098</v>
      </c>
      <c r="L163">
        <v>0.100680234484852</v>
      </c>
      <c r="M163">
        <v>430.55027971600299</v>
      </c>
      <c r="N163">
        <v>10.1587910809364</v>
      </c>
      <c r="O163">
        <v>62.902999999999999</v>
      </c>
      <c r="P163">
        <v>0.52649000000000001</v>
      </c>
      <c r="Q163">
        <v>4.5090050443157198E-2</v>
      </c>
      <c r="R163">
        <v>4.5376056322266187</v>
      </c>
      <c r="S163">
        <v>0</v>
      </c>
      <c r="T163">
        <v>1</v>
      </c>
      <c r="U163" s="2">
        <v>45169</v>
      </c>
      <c r="V163">
        <v>5.0978781656399699</v>
      </c>
    </row>
    <row r="164" spans="2:22" x14ac:dyDescent="0.25">
      <c r="B164" s="1" t="s">
        <v>57</v>
      </c>
      <c r="C164" s="2">
        <v>44418</v>
      </c>
      <c r="D164">
        <v>3</v>
      </c>
      <c r="E164">
        <v>0.5</v>
      </c>
      <c r="F164" s="3">
        <v>30</v>
      </c>
      <c r="T164">
        <v>1</v>
      </c>
      <c r="U164" s="2">
        <v>45169</v>
      </c>
      <c r="V164">
        <v>5.0978781656399699</v>
      </c>
    </row>
    <row r="165" spans="2:22" x14ac:dyDescent="0.25">
      <c r="B165" s="1" t="s">
        <v>57</v>
      </c>
      <c r="C165" s="2">
        <v>44763</v>
      </c>
      <c r="D165">
        <v>1</v>
      </c>
      <c r="E165">
        <v>0.5</v>
      </c>
      <c r="F165" s="3">
        <v>29</v>
      </c>
      <c r="I165">
        <v>7572</v>
      </c>
      <c r="K165">
        <v>358</v>
      </c>
      <c r="M165">
        <v>353</v>
      </c>
      <c r="O165">
        <v>50.2</v>
      </c>
      <c r="Q165">
        <v>4.7279450607501321E-2</v>
      </c>
      <c r="R165">
        <v>7.1314741035856573</v>
      </c>
      <c r="S165">
        <v>1</v>
      </c>
      <c r="T165">
        <v>1</v>
      </c>
      <c r="U165" s="2">
        <v>45169</v>
      </c>
      <c r="V165">
        <v>5.0978781656399699</v>
      </c>
    </row>
    <row r="166" spans="2:22" x14ac:dyDescent="0.25">
      <c r="B166" s="1" t="s">
        <v>57</v>
      </c>
      <c r="C166" s="2">
        <v>45169</v>
      </c>
      <c r="D166">
        <v>5.5</v>
      </c>
      <c r="E166">
        <v>1</v>
      </c>
      <c r="F166" s="3">
        <v>30</v>
      </c>
      <c r="T166">
        <v>1</v>
      </c>
      <c r="U166" s="2">
        <v>45169</v>
      </c>
      <c r="V166">
        <v>5.0978781656399699</v>
      </c>
    </row>
    <row r="167" spans="2:22" x14ac:dyDescent="0.25">
      <c r="B167" s="1" t="s">
        <v>58</v>
      </c>
      <c r="C167" s="2">
        <v>43144</v>
      </c>
      <c r="D167">
        <v>0</v>
      </c>
      <c r="E167">
        <v>0</v>
      </c>
      <c r="F167" s="3">
        <v>28</v>
      </c>
      <c r="T167">
        <v>1</v>
      </c>
      <c r="U167" s="2">
        <v>43144</v>
      </c>
      <c r="V167">
        <v>0.95277207392197105</v>
      </c>
    </row>
    <row r="168" spans="2:22" x14ac:dyDescent="0.25">
      <c r="B168" s="1" t="s">
        <v>58</v>
      </c>
      <c r="C168" s="2">
        <v>43971</v>
      </c>
      <c r="D168">
        <v>0</v>
      </c>
      <c r="E168">
        <v>0</v>
      </c>
      <c r="F168" s="3" t="s">
        <v>31</v>
      </c>
      <c r="T168">
        <v>1</v>
      </c>
      <c r="U168" s="2">
        <v>43144</v>
      </c>
      <c r="V168">
        <v>0.95277207392197105</v>
      </c>
    </row>
    <row r="169" spans="2:22" x14ac:dyDescent="0.25">
      <c r="B169" s="1" t="s">
        <v>58</v>
      </c>
      <c r="C169" s="2">
        <v>44246</v>
      </c>
      <c r="D169">
        <v>0</v>
      </c>
      <c r="E169">
        <v>0</v>
      </c>
      <c r="F169" s="3"/>
      <c r="T169">
        <v>1</v>
      </c>
      <c r="U169" s="2">
        <v>43144</v>
      </c>
      <c r="V169">
        <v>0.95277207392197105</v>
      </c>
    </row>
    <row r="170" spans="2:22" x14ac:dyDescent="0.25">
      <c r="B170" s="1" t="s">
        <v>58</v>
      </c>
      <c r="C170" s="2">
        <v>44701</v>
      </c>
      <c r="D170">
        <v>0</v>
      </c>
      <c r="E170">
        <v>0</v>
      </c>
      <c r="F170" s="3">
        <v>29</v>
      </c>
      <c r="T170">
        <v>1</v>
      </c>
      <c r="U170" s="2">
        <v>43144</v>
      </c>
      <c r="V170">
        <v>0.95277207392197105</v>
      </c>
    </row>
    <row r="171" spans="2:22" x14ac:dyDescent="0.25">
      <c r="B171" s="1" t="s">
        <v>58</v>
      </c>
      <c r="C171" s="2">
        <v>44974</v>
      </c>
      <c r="D171">
        <v>0</v>
      </c>
      <c r="E171">
        <v>0</v>
      </c>
      <c r="F171" s="3">
        <v>29</v>
      </c>
      <c r="T171">
        <v>1</v>
      </c>
      <c r="U171" s="2">
        <v>43144</v>
      </c>
      <c r="V171">
        <v>0.95277207392197105</v>
      </c>
    </row>
    <row r="172" spans="2:22" x14ac:dyDescent="0.25">
      <c r="B172" s="1" t="s">
        <v>58</v>
      </c>
      <c r="C172" s="2">
        <v>45345</v>
      </c>
      <c r="D172">
        <v>0</v>
      </c>
      <c r="E172">
        <v>0</v>
      </c>
      <c r="F172" s="3">
        <v>29</v>
      </c>
      <c r="T172">
        <v>1</v>
      </c>
      <c r="U172" s="2">
        <v>43144</v>
      </c>
      <c r="V172">
        <v>0.95277207392197105</v>
      </c>
    </row>
    <row r="173" spans="2:22" x14ac:dyDescent="0.25">
      <c r="B173" s="1" t="s">
        <v>59</v>
      </c>
      <c r="C173" s="2">
        <v>43563</v>
      </c>
      <c r="D173">
        <v>2.5</v>
      </c>
      <c r="E173">
        <v>0.5</v>
      </c>
      <c r="F173" s="3">
        <v>27</v>
      </c>
      <c r="T173">
        <v>1</v>
      </c>
      <c r="U173" s="2">
        <v>43563</v>
      </c>
      <c r="V173">
        <v>1.0266940451745401</v>
      </c>
    </row>
    <row r="174" spans="2:22" x14ac:dyDescent="0.25">
      <c r="B174" s="1" t="s">
        <v>59</v>
      </c>
      <c r="C174" s="2">
        <v>43965</v>
      </c>
      <c r="D174">
        <v>3.5</v>
      </c>
      <c r="E174">
        <v>0.5</v>
      </c>
      <c r="F174" s="3">
        <v>26</v>
      </c>
      <c r="G174">
        <v>2844.9392888785501</v>
      </c>
      <c r="H174">
        <v>1.3920205032883499</v>
      </c>
      <c r="I174">
        <v>7648.16938519632</v>
      </c>
      <c r="J174">
        <v>5.9612349638052802</v>
      </c>
      <c r="K174">
        <v>604.70716759331401</v>
      </c>
      <c r="L174">
        <v>1.99201890188735</v>
      </c>
      <c r="M174">
        <v>277.42127569916101</v>
      </c>
      <c r="N174">
        <v>8.4161415212493804E-2</v>
      </c>
      <c r="O174">
        <v>51.234999999999999</v>
      </c>
      <c r="Q174">
        <v>7.9065608662352058E-2</v>
      </c>
      <c r="R174">
        <v>11.80261867069999</v>
      </c>
      <c r="S174">
        <v>0</v>
      </c>
      <c r="T174">
        <v>1</v>
      </c>
      <c r="U174" s="2">
        <v>43563</v>
      </c>
      <c r="V174">
        <v>1.0266940451745401</v>
      </c>
    </row>
    <row r="175" spans="2:22" x14ac:dyDescent="0.25">
      <c r="B175" s="1" t="s">
        <v>59</v>
      </c>
      <c r="C175" s="2">
        <v>44272</v>
      </c>
      <c r="D175">
        <v>2.5</v>
      </c>
      <c r="E175">
        <v>0.5</v>
      </c>
      <c r="F175" s="3">
        <v>24</v>
      </c>
      <c r="T175">
        <v>1</v>
      </c>
      <c r="U175" s="2">
        <v>43563</v>
      </c>
      <c r="V175">
        <v>1.0266940451745401</v>
      </c>
    </row>
    <row r="176" spans="2:22" x14ac:dyDescent="0.25">
      <c r="B176" s="1" t="s">
        <v>60</v>
      </c>
      <c r="C176" s="2">
        <v>43598</v>
      </c>
      <c r="D176">
        <v>1</v>
      </c>
      <c r="E176">
        <v>0.5</v>
      </c>
      <c r="F176" s="3">
        <v>29</v>
      </c>
      <c r="T176">
        <v>1</v>
      </c>
      <c r="U176" s="2">
        <v>43598</v>
      </c>
      <c r="V176">
        <v>1.0157426420260101</v>
      </c>
    </row>
    <row r="177" spans="2:22" x14ac:dyDescent="0.25">
      <c r="B177" s="1" t="s">
        <v>60</v>
      </c>
      <c r="C177" s="2">
        <v>44320</v>
      </c>
      <c r="D177">
        <v>0.5</v>
      </c>
      <c r="E177">
        <v>0.5</v>
      </c>
      <c r="F177" s="3"/>
      <c r="T177">
        <v>1</v>
      </c>
      <c r="U177" s="2">
        <v>43598</v>
      </c>
      <c r="V177">
        <v>1.0157426420260101</v>
      </c>
    </row>
    <row r="178" spans="2:22" x14ac:dyDescent="0.25">
      <c r="B178" s="1" t="s">
        <v>60</v>
      </c>
      <c r="C178" s="2">
        <v>44690</v>
      </c>
      <c r="D178">
        <v>1</v>
      </c>
      <c r="E178">
        <v>0.5</v>
      </c>
      <c r="F178" s="3">
        <v>30</v>
      </c>
      <c r="T178">
        <v>1</v>
      </c>
      <c r="U178" s="2">
        <v>43598</v>
      </c>
      <c r="V178">
        <v>1.0157426420260101</v>
      </c>
    </row>
    <row r="179" spans="2:22" x14ac:dyDescent="0.25">
      <c r="B179" s="1" t="s">
        <v>60</v>
      </c>
      <c r="C179" s="2">
        <v>45077</v>
      </c>
      <c r="D179">
        <v>1.5</v>
      </c>
      <c r="E179">
        <v>0.5</v>
      </c>
      <c r="F179" s="3">
        <v>29</v>
      </c>
      <c r="T179">
        <v>1</v>
      </c>
      <c r="U179" s="2">
        <v>43598</v>
      </c>
      <c r="V179">
        <v>1.0157426420260101</v>
      </c>
    </row>
    <row r="180" spans="2:22" x14ac:dyDescent="0.25">
      <c r="B180" s="1" t="s">
        <v>61</v>
      </c>
      <c r="C180" s="2">
        <v>42416</v>
      </c>
      <c r="D180">
        <v>0.5</v>
      </c>
      <c r="E180">
        <v>0</v>
      </c>
      <c r="F180" s="3">
        <v>30</v>
      </c>
      <c r="T180">
        <v>1</v>
      </c>
      <c r="U180" s="2">
        <v>44244</v>
      </c>
      <c r="V180">
        <v>6.0041067761807003</v>
      </c>
    </row>
    <row r="181" spans="2:22" x14ac:dyDescent="0.25">
      <c r="B181" s="1" t="s">
        <v>61</v>
      </c>
      <c r="C181" s="2">
        <v>42782</v>
      </c>
      <c r="D181">
        <v>0</v>
      </c>
      <c r="E181">
        <v>0</v>
      </c>
      <c r="F181" s="3">
        <v>30</v>
      </c>
      <c r="T181">
        <v>1</v>
      </c>
      <c r="U181" s="2">
        <v>44244</v>
      </c>
      <c r="V181">
        <v>6.0041067761807003</v>
      </c>
    </row>
    <row r="182" spans="2:22" x14ac:dyDescent="0.25">
      <c r="B182" s="1" t="s">
        <v>61</v>
      </c>
      <c r="C182" s="2">
        <v>43152</v>
      </c>
      <c r="D182">
        <v>0</v>
      </c>
      <c r="E182">
        <v>0</v>
      </c>
      <c r="F182" s="3">
        <v>29</v>
      </c>
      <c r="T182">
        <v>1</v>
      </c>
      <c r="U182" s="2">
        <v>44244</v>
      </c>
      <c r="V182">
        <v>6.0041067761807003</v>
      </c>
    </row>
    <row r="183" spans="2:22" x14ac:dyDescent="0.25">
      <c r="B183" s="1" t="s">
        <v>61</v>
      </c>
      <c r="C183" s="2">
        <v>43521</v>
      </c>
      <c r="D183">
        <v>0.5</v>
      </c>
      <c r="E183">
        <v>0.5</v>
      </c>
      <c r="F183" s="3">
        <v>30</v>
      </c>
      <c r="T183">
        <v>1</v>
      </c>
      <c r="U183" s="2">
        <v>44244</v>
      </c>
      <c r="V183">
        <v>6.0041067761807003</v>
      </c>
    </row>
    <row r="184" spans="2:22" x14ac:dyDescent="0.25">
      <c r="B184" s="1" t="s">
        <v>61</v>
      </c>
      <c r="C184" s="2">
        <v>43878</v>
      </c>
      <c r="D184">
        <v>1.5</v>
      </c>
      <c r="E184">
        <v>0.5</v>
      </c>
      <c r="F184" s="3">
        <v>28</v>
      </c>
      <c r="T184">
        <v>1</v>
      </c>
      <c r="U184" s="2">
        <v>44244</v>
      </c>
      <c r="V184">
        <v>6.0041067761807003</v>
      </c>
    </row>
    <row r="185" spans="2:22" x14ac:dyDescent="0.25">
      <c r="B185" s="1" t="s">
        <v>61</v>
      </c>
      <c r="C185" s="2">
        <v>44244</v>
      </c>
      <c r="D185">
        <v>0.5</v>
      </c>
      <c r="E185">
        <v>0.5</v>
      </c>
      <c r="F185" s="3">
        <v>30</v>
      </c>
      <c r="T185">
        <v>1</v>
      </c>
      <c r="U185" s="2">
        <v>44244</v>
      </c>
      <c r="V185">
        <v>6.0041067761807003</v>
      </c>
    </row>
    <row r="186" spans="2:22" x14ac:dyDescent="0.25">
      <c r="B186" s="1" t="s">
        <v>61</v>
      </c>
      <c r="C186" s="2">
        <v>44609</v>
      </c>
      <c r="F186" s="3">
        <v>30</v>
      </c>
      <c r="T186">
        <v>1</v>
      </c>
      <c r="U186" s="2">
        <v>44244</v>
      </c>
      <c r="V186">
        <v>6.0041067761807003</v>
      </c>
    </row>
    <row r="187" spans="2:22" x14ac:dyDescent="0.25">
      <c r="B187" s="1" t="s">
        <v>62</v>
      </c>
      <c r="C187" s="2">
        <v>43304</v>
      </c>
      <c r="D187">
        <v>0</v>
      </c>
      <c r="E187">
        <v>0</v>
      </c>
      <c r="F187" s="3">
        <v>30</v>
      </c>
      <c r="T187">
        <v>1</v>
      </c>
      <c r="U187" s="2">
        <v>43682</v>
      </c>
      <c r="V187">
        <v>2.0506502395619401</v>
      </c>
    </row>
    <row r="188" spans="2:22" x14ac:dyDescent="0.25">
      <c r="B188" s="1" t="s">
        <v>62</v>
      </c>
      <c r="C188" s="2">
        <v>43682</v>
      </c>
      <c r="D188">
        <v>3</v>
      </c>
      <c r="E188">
        <v>0.5</v>
      </c>
      <c r="F188" s="3">
        <v>27</v>
      </c>
      <c r="T188">
        <v>1</v>
      </c>
      <c r="U188" s="2">
        <v>43682</v>
      </c>
      <c r="V188">
        <v>2.0506502395619401</v>
      </c>
    </row>
    <row r="189" spans="2:22" x14ac:dyDescent="0.25">
      <c r="B189" s="1" t="s">
        <v>62</v>
      </c>
      <c r="C189" s="2">
        <v>44088</v>
      </c>
      <c r="D189">
        <v>3.5</v>
      </c>
      <c r="E189">
        <v>0.5</v>
      </c>
      <c r="F189" s="3">
        <v>26</v>
      </c>
      <c r="T189">
        <v>1</v>
      </c>
      <c r="U189" s="2">
        <v>43682</v>
      </c>
      <c r="V189">
        <v>2.0506502395619401</v>
      </c>
    </row>
    <row r="190" spans="2:22" x14ac:dyDescent="0.25">
      <c r="B190" s="1" t="s">
        <v>62</v>
      </c>
      <c r="C190" s="2">
        <v>44382</v>
      </c>
      <c r="D190">
        <v>6</v>
      </c>
      <c r="E190">
        <v>1</v>
      </c>
      <c r="F190" s="3">
        <v>26</v>
      </c>
      <c r="T190">
        <v>1</v>
      </c>
      <c r="U190" s="2">
        <v>43682</v>
      </c>
      <c r="V190">
        <v>2.0506502395619401</v>
      </c>
    </row>
    <row r="191" spans="2:22" x14ac:dyDescent="0.25">
      <c r="B191" s="1" t="s">
        <v>63</v>
      </c>
      <c r="C191" s="2">
        <v>44006</v>
      </c>
      <c r="D191">
        <v>1.5</v>
      </c>
      <c r="E191">
        <v>0.5</v>
      </c>
      <c r="F191" s="3">
        <v>30</v>
      </c>
      <c r="T191">
        <v>1</v>
      </c>
      <c r="U191" s="2">
        <v>45145</v>
      </c>
      <c r="V191">
        <v>5.2867898699520897</v>
      </c>
    </row>
    <row r="192" spans="2:22" x14ac:dyDescent="0.25">
      <c r="B192" s="1" t="s">
        <v>63</v>
      </c>
      <c r="C192" s="2">
        <v>44335</v>
      </c>
      <c r="D192">
        <v>1</v>
      </c>
      <c r="E192">
        <v>0.5</v>
      </c>
      <c r="F192" s="3">
        <v>30</v>
      </c>
      <c r="T192">
        <v>1</v>
      </c>
      <c r="U192" s="2">
        <v>45145</v>
      </c>
      <c r="V192">
        <v>5.2867898699520897</v>
      </c>
    </row>
    <row r="193" spans="2:22" x14ac:dyDescent="0.25">
      <c r="B193" s="1" t="s">
        <v>63</v>
      </c>
      <c r="C193" s="2">
        <v>44810</v>
      </c>
      <c r="D193">
        <v>1.5</v>
      </c>
      <c r="E193">
        <v>0.5</v>
      </c>
      <c r="F193" s="3">
        <v>29</v>
      </c>
      <c r="T193">
        <v>1</v>
      </c>
      <c r="U193" s="2">
        <v>45145</v>
      </c>
      <c r="V193">
        <v>5.2867898699520897</v>
      </c>
    </row>
    <row r="194" spans="2:22" x14ac:dyDescent="0.25">
      <c r="B194" s="1" t="s">
        <v>63</v>
      </c>
      <c r="C194" s="2">
        <v>45145</v>
      </c>
      <c r="D194">
        <v>1.5</v>
      </c>
      <c r="E194">
        <v>0.5</v>
      </c>
      <c r="F194" s="3">
        <v>30</v>
      </c>
      <c r="T194">
        <v>1</v>
      </c>
      <c r="U194" s="2">
        <v>45145</v>
      </c>
      <c r="V194">
        <v>5.2867898699520897</v>
      </c>
    </row>
    <row r="195" spans="2:22" x14ac:dyDescent="0.25">
      <c r="B195" s="1" t="s">
        <v>64</v>
      </c>
      <c r="C195" s="2">
        <v>42522</v>
      </c>
      <c r="D195">
        <v>0</v>
      </c>
      <c r="E195">
        <v>0</v>
      </c>
      <c r="F195" s="3">
        <v>29</v>
      </c>
      <c r="T195">
        <v>1</v>
      </c>
      <c r="U195" s="2">
        <v>43605</v>
      </c>
      <c r="V195">
        <v>4.0383299110198498</v>
      </c>
    </row>
    <row r="196" spans="2:22" x14ac:dyDescent="0.25">
      <c r="B196" s="1" t="s">
        <v>64</v>
      </c>
      <c r="C196" s="2">
        <v>42884</v>
      </c>
      <c r="D196">
        <v>0</v>
      </c>
      <c r="E196">
        <v>0</v>
      </c>
      <c r="F196" s="3">
        <v>30</v>
      </c>
      <c r="G196">
        <v>3797.9779692257598</v>
      </c>
      <c r="H196">
        <v>0.821429692426211</v>
      </c>
      <c r="I196">
        <v>9880.5249777183399</v>
      </c>
      <c r="J196">
        <v>2.5818891579731198</v>
      </c>
      <c r="K196">
        <v>1277.1949446004</v>
      </c>
      <c r="L196">
        <v>2.4856643487118402</v>
      </c>
      <c r="M196">
        <v>493.13815937893298</v>
      </c>
      <c r="N196">
        <v>9.9618924313684705</v>
      </c>
      <c r="O196">
        <v>74.564999999999998</v>
      </c>
      <c r="P196">
        <v>4.9368000000000002E-2</v>
      </c>
      <c r="Q196">
        <v>0.1292638748933497</v>
      </c>
      <c r="R196">
        <v>17.128611876891309</v>
      </c>
      <c r="S196">
        <v>0</v>
      </c>
      <c r="T196">
        <v>1</v>
      </c>
      <c r="U196" s="2">
        <v>43605</v>
      </c>
      <c r="V196">
        <v>4.0383299110198498</v>
      </c>
    </row>
    <row r="197" spans="2:22" x14ac:dyDescent="0.25">
      <c r="B197" s="1" t="s">
        <v>64</v>
      </c>
      <c r="C197" s="2">
        <v>43185</v>
      </c>
      <c r="D197">
        <v>2</v>
      </c>
      <c r="E197">
        <v>0.5</v>
      </c>
      <c r="F197" s="3">
        <v>27</v>
      </c>
      <c r="T197">
        <v>1</v>
      </c>
      <c r="U197" s="2">
        <v>43605</v>
      </c>
      <c r="V197">
        <v>4.0383299110198498</v>
      </c>
    </row>
    <row r="198" spans="2:22" x14ac:dyDescent="0.25">
      <c r="B198" s="1" t="s">
        <v>64</v>
      </c>
      <c r="C198" s="2">
        <v>43605</v>
      </c>
      <c r="D198">
        <v>0</v>
      </c>
      <c r="E198">
        <v>0</v>
      </c>
      <c r="F198" s="3">
        <v>29</v>
      </c>
      <c r="T198">
        <v>1</v>
      </c>
      <c r="U198" s="2">
        <v>43605</v>
      </c>
      <c r="V198">
        <v>4.0383299110198498</v>
      </c>
    </row>
    <row r="199" spans="2:22" x14ac:dyDescent="0.25">
      <c r="B199" s="1" t="s">
        <v>64</v>
      </c>
      <c r="C199" s="2">
        <v>43976</v>
      </c>
      <c r="D199">
        <v>0</v>
      </c>
      <c r="E199">
        <v>0</v>
      </c>
      <c r="F199" s="3">
        <v>28</v>
      </c>
      <c r="T199">
        <v>1</v>
      </c>
      <c r="U199" s="2">
        <v>43605</v>
      </c>
      <c r="V199">
        <v>4.0383299110198498</v>
      </c>
    </row>
    <row r="200" spans="2:22" x14ac:dyDescent="0.25">
      <c r="B200" s="1" t="s">
        <v>64</v>
      </c>
      <c r="C200" s="2">
        <v>44333</v>
      </c>
      <c r="D200">
        <v>0</v>
      </c>
      <c r="E200">
        <v>0</v>
      </c>
      <c r="F200" s="3">
        <v>29</v>
      </c>
      <c r="T200">
        <v>1</v>
      </c>
      <c r="U200" s="2">
        <v>43605</v>
      </c>
      <c r="V200">
        <v>4.0383299110198498</v>
      </c>
    </row>
    <row r="201" spans="2:22" x14ac:dyDescent="0.25">
      <c r="B201" s="1" t="s">
        <v>65</v>
      </c>
      <c r="C201" s="2">
        <v>42494</v>
      </c>
      <c r="D201">
        <v>0.5</v>
      </c>
      <c r="E201">
        <v>0.5</v>
      </c>
      <c r="F201" s="3">
        <v>30</v>
      </c>
      <c r="T201">
        <v>1</v>
      </c>
      <c r="U201" s="2">
        <v>45033</v>
      </c>
      <c r="V201">
        <v>8.0082135523614006</v>
      </c>
    </row>
    <row r="202" spans="2:22" x14ac:dyDescent="0.25">
      <c r="B202" s="1" t="s">
        <v>65</v>
      </c>
      <c r="C202" s="2">
        <v>42844</v>
      </c>
      <c r="D202">
        <v>0</v>
      </c>
      <c r="E202">
        <v>0</v>
      </c>
      <c r="F202" s="3">
        <v>28</v>
      </c>
      <c r="T202">
        <v>1</v>
      </c>
      <c r="U202" s="2">
        <v>45033</v>
      </c>
      <c r="V202">
        <v>8.0082135523614006</v>
      </c>
    </row>
    <row r="203" spans="2:22" x14ac:dyDescent="0.25">
      <c r="B203" s="1" t="s">
        <v>65</v>
      </c>
      <c r="C203" s="2">
        <v>43206</v>
      </c>
      <c r="D203">
        <v>0</v>
      </c>
      <c r="E203">
        <v>0</v>
      </c>
      <c r="F203" s="3">
        <v>30</v>
      </c>
      <c r="T203">
        <v>1</v>
      </c>
      <c r="U203" s="2">
        <v>45033</v>
      </c>
      <c r="V203">
        <v>8.0082135523614006</v>
      </c>
    </row>
    <row r="204" spans="2:22" x14ac:dyDescent="0.25">
      <c r="B204" s="1" t="s">
        <v>65</v>
      </c>
      <c r="C204" s="2">
        <v>43570</v>
      </c>
      <c r="D204">
        <v>0</v>
      </c>
      <c r="E204">
        <v>0</v>
      </c>
      <c r="F204" s="3">
        <v>30</v>
      </c>
      <c r="T204">
        <v>1</v>
      </c>
      <c r="U204" s="2">
        <v>45033</v>
      </c>
      <c r="V204">
        <v>8.0082135523614006</v>
      </c>
    </row>
    <row r="205" spans="2:22" x14ac:dyDescent="0.25">
      <c r="B205" s="1" t="s">
        <v>65</v>
      </c>
      <c r="C205" s="2">
        <v>43971</v>
      </c>
      <c r="D205">
        <v>0</v>
      </c>
      <c r="E205">
        <v>0</v>
      </c>
      <c r="F205" s="3"/>
      <c r="T205">
        <v>1</v>
      </c>
      <c r="U205" s="2">
        <v>45033</v>
      </c>
      <c r="V205">
        <v>8.0082135523614006</v>
      </c>
    </row>
    <row r="206" spans="2:22" x14ac:dyDescent="0.25">
      <c r="B206" s="1" t="s">
        <v>65</v>
      </c>
      <c r="C206" s="2">
        <v>44298</v>
      </c>
      <c r="D206">
        <v>0.5</v>
      </c>
      <c r="E206">
        <v>0.5</v>
      </c>
      <c r="F206" s="3">
        <v>30</v>
      </c>
      <c r="T206">
        <v>1</v>
      </c>
      <c r="U206" s="2">
        <v>45033</v>
      </c>
      <c r="V206">
        <v>8.0082135523614006</v>
      </c>
    </row>
    <row r="207" spans="2:22" x14ac:dyDescent="0.25">
      <c r="B207" s="1" t="s">
        <v>65</v>
      </c>
      <c r="C207" s="2">
        <v>44676</v>
      </c>
      <c r="D207">
        <v>0</v>
      </c>
      <c r="E207">
        <v>0</v>
      </c>
      <c r="F207" s="3">
        <v>30</v>
      </c>
      <c r="T207">
        <v>1</v>
      </c>
      <c r="U207" s="2">
        <v>45033</v>
      </c>
      <c r="V207">
        <v>8.0082135523614006</v>
      </c>
    </row>
    <row r="208" spans="2:22" x14ac:dyDescent="0.25">
      <c r="B208" s="1" t="s">
        <v>65</v>
      </c>
      <c r="C208" s="2">
        <v>45033</v>
      </c>
      <c r="D208">
        <v>0</v>
      </c>
      <c r="E208">
        <v>0</v>
      </c>
      <c r="F208" s="3">
        <v>30</v>
      </c>
      <c r="T208">
        <v>1</v>
      </c>
      <c r="U208" s="2">
        <v>45033</v>
      </c>
      <c r="V208">
        <v>8.0082135523614006</v>
      </c>
    </row>
    <row r="209" spans="2:22" x14ac:dyDescent="0.25">
      <c r="B209" s="1" t="s">
        <v>66</v>
      </c>
      <c r="C209" s="2">
        <v>43076</v>
      </c>
      <c r="D209">
        <v>0.5</v>
      </c>
      <c r="E209">
        <v>0.5</v>
      </c>
      <c r="F209" s="3">
        <v>30</v>
      </c>
      <c r="T209">
        <v>1</v>
      </c>
      <c r="U209" s="2">
        <v>43486</v>
      </c>
      <c r="V209">
        <v>2.25872689938398</v>
      </c>
    </row>
    <row r="210" spans="2:22" x14ac:dyDescent="0.25">
      <c r="B210" s="1" t="s">
        <v>66</v>
      </c>
      <c r="C210" s="2">
        <v>43486</v>
      </c>
      <c r="D210">
        <v>1</v>
      </c>
      <c r="E210">
        <v>0.5</v>
      </c>
      <c r="F210" s="3">
        <v>26</v>
      </c>
      <c r="T210">
        <v>1</v>
      </c>
      <c r="U210" s="2">
        <v>43486</v>
      </c>
      <c r="V210">
        <v>2.25872689938398</v>
      </c>
    </row>
    <row r="211" spans="2:22" x14ac:dyDescent="0.25">
      <c r="B211" s="1" t="s">
        <v>66</v>
      </c>
      <c r="C211" s="2">
        <v>44138</v>
      </c>
      <c r="D211">
        <v>1.5</v>
      </c>
      <c r="E211">
        <v>0.5</v>
      </c>
      <c r="F211" s="3">
        <v>25</v>
      </c>
      <c r="T211">
        <v>1</v>
      </c>
      <c r="U211" s="2">
        <v>43486</v>
      </c>
      <c r="V211">
        <v>2.25872689938398</v>
      </c>
    </row>
    <row r="212" spans="2:22" x14ac:dyDescent="0.25">
      <c r="B212" s="1" t="s">
        <v>67</v>
      </c>
      <c r="C212" s="2">
        <v>43367</v>
      </c>
      <c r="D212">
        <v>0</v>
      </c>
      <c r="E212">
        <v>0</v>
      </c>
      <c r="F212" s="3">
        <v>30</v>
      </c>
      <c r="T212">
        <v>1</v>
      </c>
      <c r="U212" s="2">
        <v>44466</v>
      </c>
      <c r="V212">
        <v>4.0547570157426396</v>
      </c>
    </row>
    <row r="213" spans="2:22" x14ac:dyDescent="0.25">
      <c r="B213" s="1" t="s">
        <v>67</v>
      </c>
      <c r="C213" s="2">
        <v>44116</v>
      </c>
      <c r="D213">
        <v>0</v>
      </c>
      <c r="E213">
        <v>0</v>
      </c>
      <c r="F213" s="3">
        <v>29</v>
      </c>
      <c r="T213">
        <v>1</v>
      </c>
      <c r="U213" s="2">
        <v>44466</v>
      </c>
      <c r="V213">
        <v>4.0547570157426396</v>
      </c>
    </row>
    <row r="214" spans="2:22" x14ac:dyDescent="0.25">
      <c r="B214" s="1" t="s">
        <v>67</v>
      </c>
      <c r="C214" s="2">
        <v>44466</v>
      </c>
      <c r="D214">
        <v>0.5</v>
      </c>
      <c r="E214">
        <v>0.5</v>
      </c>
      <c r="F214" s="3">
        <v>29</v>
      </c>
      <c r="T214">
        <v>1</v>
      </c>
      <c r="U214" s="2">
        <v>44466</v>
      </c>
      <c r="V214">
        <v>4.0547570157426396</v>
      </c>
    </row>
    <row r="215" spans="2:22" x14ac:dyDescent="0.25">
      <c r="B215" s="1" t="s">
        <v>68</v>
      </c>
      <c r="C215" s="2">
        <v>42347</v>
      </c>
      <c r="D215">
        <v>0</v>
      </c>
      <c r="E215">
        <v>0</v>
      </c>
      <c r="F215" s="3">
        <v>30</v>
      </c>
      <c r="T215">
        <v>1</v>
      </c>
      <c r="U215" s="2">
        <v>44900</v>
      </c>
      <c r="V215">
        <v>7.9863107460643397</v>
      </c>
    </row>
    <row r="216" spans="2:22" x14ac:dyDescent="0.25">
      <c r="B216" s="1" t="s">
        <v>68</v>
      </c>
      <c r="C216" s="2">
        <v>42703</v>
      </c>
      <c r="D216">
        <v>0</v>
      </c>
      <c r="E216">
        <v>0</v>
      </c>
      <c r="F216" s="3">
        <v>30</v>
      </c>
      <c r="T216">
        <v>1</v>
      </c>
      <c r="U216" s="2">
        <v>44900</v>
      </c>
      <c r="V216">
        <v>7.9863107460643397</v>
      </c>
    </row>
    <row r="217" spans="2:22" x14ac:dyDescent="0.25">
      <c r="B217" s="1" t="s">
        <v>68</v>
      </c>
      <c r="C217" s="2">
        <v>43066</v>
      </c>
      <c r="D217">
        <v>0</v>
      </c>
      <c r="E217">
        <v>0</v>
      </c>
      <c r="F217" s="3">
        <v>30</v>
      </c>
      <c r="T217">
        <v>1</v>
      </c>
      <c r="U217" s="2">
        <v>44900</v>
      </c>
      <c r="V217">
        <v>7.9863107460643397</v>
      </c>
    </row>
    <row r="218" spans="2:22" x14ac:dyDescent="0.25">
      <c r="B218" s="1" t="s">
        <v>68</v>
      </c>
      <c r="C218" s="2">
        <v>43451</v>
      </c>
      <c r="D218">
        <v>0</v>
      </c>
      <c r="E218">
        <v>0</v>
      </c>
      <c r="F218" s="3">
        <v>29</v>
      </c>
      <c r="T218">
        <v>1</v>
      </c>
      <c r="U218" s="2">
        <v>44900</v>
      </c>
      <c r="V218">
        <v>7.9863107460643397</v>
      </c>
    </row>
    <row r="219" spans="2:22" x14ac:dyDescent="0.25">
      <c r="B219" s="1" t="s">
        <v>68</v>
      </c>
      <c r="C219" s="2">
        <v>43787</v>
      </c>
      <c r="D219">
        <v>0</v>
      </c>
      <c r="E219">
        <v>0</v>
      </c>
      <c r="F219" s="3">
        <v>30</v>
      </c>
      <c r="T219">
        <v>1</v>
      </c>
      <c r="U219" s="2">
        <v>44900</v>
      </c>
      <c r="V219">
        <v>7.9863107460643397</v>
      </c>
    </row>
    <row r="220" spans="2:22" x14ac:dyDescent="0.25">
      <c r="B220" s="1" t="s">
        <v>68</v>
      </c>
      <c r="C220" s="2">
        <v>44144</v>
      </c>
      <c r="D220">
        <v>0</v>
      </c>
      <c r="E220">
        <v>0</v>
      </c>
      <c r="F220" s="3">
        <v>27</v>
      </c>
      <c r="T220">
        <v>1</v>
      </c>
      <c r="U220" s="2">
        <v>44900</v>
      </c>
      <c r="V220">
        <v>7.9863107460643397</v>
      </c>
    </row>
    <row r="221" spans="2:22" x14ac:dyDescent="0.25">
      <c r="B221" s="1" t="s">
        <v>68</v>
      </c>
      <c r="C221" s="2">
        <v>44522</v>
      </c>
      <c r="D221">
        <v>0</v>
      </c>
      <c r="E221">
        <v>0</v>
      </c>
      <c r="F221" s="3">
        <v>30</v>
      </c>
      <c r="T221">
        <v>1</v>
      </c>
      <c r="U221" s="2">
        <v>44900</v>
      </c>
      <c r="V221">
        <v>7.9863107460643397</v>
      </c>
    </row>
    <row r="222" spans="2:22" x14ac:dyDescent="0.25">
      <c r="B222" s="1" t="s">
        <v>68</v>
      </c>
      <c r="C222" s="2">
        <v>44900</v>
      </c>
      <c r="D222">
        <v>0</v>
      </c>
      <c r="E222">
        <v>0</v>
      </c>
      <c r="F222" s="3">
        <v>30</v>
      </c>
      <c r="T222">
        <v>1</v>
      </c>
      <c r="U222" s="2">
        <v>44900</v>
      </c>
      <c r="V222">
        <v>7.9863107460643397</v>
      </c>
    </row>
    <row r="223" spans="2:22" x14ac:dyDescent="0.25">
      <c r="B223" s="1" t="s">
        <v>68</v>
      </c>
      <c r="C223" s="2">
        <v>45243</v>
      </c>
      <c r="D223">
        <v>0</v>
      </c>
      <c r="E223">
        <v>0</v>
      </c>
      <c r="F223" s="3">
        <v>30</v>
      </c>
      <c r="T223">
        <v>1</v>
      </c>
      <c r="U223" s="2">
        <v>44900</v>
      </c>
      <c r="V223">
        <v>7.9863107460643397</v>
      </c>
    </row>
    <row r="224" spans="2:22" x14ac:dyDescent="0.25">
      <c r="B224" s="1" t="s">
        <v>69</v>
      </c>
      <c r="C224" s="2">
        <v>43746</v>
      </c>
      <c r="D224">
        <v>0</v>
      </c>
      <c r="E224">
        <v>0</v>
      </c>
      <c r="F224" s="3">
        <v>29</v>
      </c>
      <c r="T224">
        <v>1</v>
      </c>
      <c r="U224" s="2">
        <v>43746</v>
      </c>
      <c r="V224">
        <v>1.3415468856947299</v>
      </c>
    </row>
    <row r="225" spans="2:22" x14ac:dyDescent="0.25">
      <c r="B225" s="1" t="s">
        <v>70</v>
      </c>
      <c r="C225" s="2">
        <v>43549</v>
      </c>
      <c r="D225">
        <v>0.5</v>
      </c>
      <c r="E225">
        <v>0.5</v>
      </c>
      <c r="F225" s="3">
        <v>29</v>
      </c>
      <c r="T225">
        <v>1</v>
      </c>
      <c r="U225" s="2">
        <v>44655</v>
      </c>
      <c r="V225">
        <v>4.1204654346338101</v>
      </c>
    </row>
    <row r="226" spans="2:22" x14ac:dyDescent="0.25">
      <c r="B226" s="1" t="s">
        <v>70</v>
      </c>
      <c r="C226" s="2">
        <v>43985</v>
      </c>
      <c r="D226">
        <v>1.5</v>
      </c>
      <c r="E226">
        <v>0.5</v>
      </c>
      <c r="F226" s="3">
        <v>25</v>
      </c>
      <c r="I226">
        <v>15477</v>
      </c>
      <c r="K226">
        <v>628</v>
      </c>
      <c r="M226">
        <v>783</v>
      </c>
      <c r="O226">
        <v>142.69999999999999</v>
      </c>
      <c r="Q226">
        <v>4.0576339083801767E-2</v>
      </c>
      <c r="R226">
        <v>4.40084092501752</v>
      </c>
      <c r="S226">
        <v>1</v>
      </c>
      <c r="T226">
        <v>1</v>
      </c>
      <c r="U226" s="2">
        <v>44655</v>
      </c>
      <c r="V226">
        <v>4.1204654346338101</v>
      </c>
    </row>
    <row r="227" spans="2:22" x14ac:dyDescent="0.25">
      <c r="B227" s="1" t="s">
        <v>70</v>
      </c>
      <c r="C227" s="2">
        <v>44259</v>
      </c>
      <c r="D227">
        <v>2.5</v>
      </c>
      <c r="E227">
        <v>0.5</v>
      </c>
      <c r="F227" s="3">
        <v>28</v>
      </c>
      <c r="T227">
        <v>1</v>
      </c>
      <c r="U227" s="2">
        <v>44655</v>
      </c>
      <c r="V227">
        <v>4.1204654346338101</v>
      </c>
    </row>
    <row r="228" spans="2:22" x14ac:dyDescent="0.25">
      <c r="B228" s="1" t="s">
        <v>70</v>
      </c>
      <c r="C228" s="2">
        <v>44655</v>
      </c>
      <c r="D228" t="s">
        <v>31</v>
      </c>
      <c r="E228">
        <v>0.5</v>
      </c>
      <c r="F228" s="3">
        <v>24</v>
      </c>
      <c r="T228">
        <v>1</v>
      </c>
      <c r="U228" s="2">
        <v>44655</v>
      </c>
      <c r="V228">
        <v>4.1204654346338101</v>
      </c>
    </row>
    <row r="229" spans="2:22" x14ac:dyDescent="0.25">
      <c r="B229" s="1" t="s">
        <v>71</v>
      </c>
      <c r="C229" s="2">
        <v>42969</v>
      </c>
      <c r="D229">
        <v>4.5</v>
      </c>
      <c r="E229">
        <v>1</v>
      </c>
      <c r="F229" s="3">
        <v>26</v>
      </c>
      <c r="T229">
        <v>1</v>
      </c>
      <c r="U229" s="2">
        <v>42969</v>
      </c>
      <c r="V229">
        <v>1.0376454483230699</v>
      </c>
    </row>
    <row r="230" spans="2:22" x14ac:dyDescent="0.25">
      <c r="B230" s="1" t="s">
        <v>71</v>
      </c>
      <c r="C230" s="2">
        <v>43374</v>
      </c>
      <c r="D230">
        <v>4.5</v>
      </c>
      <c r="E230">
        <v>1</v>
      </c>
      <c r="F230" s="3">
        <v>21</v>
      </c>
      <c r="T230">
        <v>1</v>
      </c>
      <c r="U230" s="2">
        <v>42969</v>
      </c>
      <c r="V230">
        <v>1.0376454483230699</v>
      </c>
    </row>
    <row r="231" spans="2:22" x14ac:dyDescent="0.25">
      <c r="B231" s="1" t="s">
        <v>72</v>
      </c>
      <c r="C231" s="2">
        <v>43595</v>
      </c>
      <c r="D231" t="s">
        <v>31</v>
      </c>
      <c r="E231" t="s">
        <v>31</v>
      </c>
      <c r="F231" s="3">
        <v>30</v>
      </c>
      <c r="T231">
        <v>1</v>
      </c>
      <c r="U231" s="2">
        <v>44699</v>
      </c>
      <c r="V231">
        <v>4.0629705681040402</v>
      </c>
    </row>
    <row r="232" spans="2:22" x14ac:dyDescent="0.25">
      <c r="B232" s="1" t="s">
        <v>72</v>
      </c>
      <c r="C232" s="2">
        <v>44014</v>
      </c>
      <c r="D232">
        <v>0</v>
      </c>
      <c r="E232">
        <v>0</v>
      </c>
      <c r="F232" s="3">
        <v>30</v>
      </c>
      <c r="T232">
        <v>1</v>
      </c>
      <c r="U232" s="2">
        <v>44699</v>
      </c>
      <c r="V232">
        <v>4.0629705681040402</v>
      </c>
    </row>
    <row r="233" spans="2:22" x14ac:dyDescent="0.25">
      <c r="B233" s="1" t="s">
        <v>72</v>
      </c>
      <c r="C233" s="2">
        <v>44389</v>
      </c>
      <c r="D233">
        <v>0</v>
      </c>
      <c r="E233">
        <v>0</v>
      </c>
      <c r="F233" s="3">
        <v>30</v>
      </c>
      <c r="T233">
        <v>1</v>
      </c>
      <c r="U233" s="2">
        <v>44699</v>
      </c>
      <c r="V233">
        <v>4.0629705681040402</v>
      </c>
    </row>
    <row r="234" spans="2:22" x14ac:dyDescent="0.25">
      <c r="B234" s="1" t="s">
        <v>72</v>
      </c>
      <c r="C234" s="2">
        <v>44699</v>
      </c>
      <c r="D234">
        <v>0</v>
      </c>
      <c r="E234">
        <v>0</v>
      </c>
      <c r="F234" s="3">
        <v>30</v>
      </c>
      <c r="T234">
        <v>1</v>
      </c>
      <c r="U234" s="2">
        <v>44699</v>
      </c>
      <c r="V234">
        <v>4.0629705681040402</v>
      </c>
    </row>
    <row r="235" spans="2:22" x14ac:dyDescent="0.25">
      <c r="B235" s="1" t="s">
        <v>72</v>
      </c>
      <c r="C235" s="2">
        <v>45006</v>
      </c>
      <c r="F235" s="3">
        <v>30</v>
      </c>
      <c r="T235">
        <v>1</v>
      </c>
      <c r="U235" s="2">
        <v>44699</v>
      </c>
      <c r="V235">
        <v>4.0629705681040402</v>
      </c>
    </row>
    <row r="236" spans="2:22" x14ac:dyDescent="0.25">
      <c r="B236" s="1" t="s">
        <v>73</v>
      </c>
      <c r="C236" s="2">
        <v>43361</v>
      </c>
      <c r="D236">
        <v>0.5</v>
      </c>
      <c r="E236">
        <v>0.5</v>
      </c>
      <c r="F236" s="3">
        <v>30</v>
      </c>
      <c r="T236">
        <v>1</v>
      </c>
      <c r="U236" s="2">
        <v>43361</v>
      </c>
      <c r="V236">
        <v>2.16837782340862</v>
      </c>
    </row>
    <row r="237" spans="2:22" x14ac:dyDescent="0.25">
      <c r="B237" s="1" t="s">
        <v>74</v>
      </c>
      <c r="C237" s="2">
        <v>43116</v>
      </c>
      <c r="D237">
        <v>0.5</v>
      </c>
      <c r="E237">
        <v>0</v>
      </c>
      <c r="F237" s="3">
        <v>29</v>
      </c>
      <c r="T237">
        <v>1</v>
      </c>
      <c r="U237" s="2">
        <v>43116</v>
      </c>
      <c r="V237">
        <v>1.2429842573579699</v>
      </c>
    </row>
    <row r="238" spans="2:22" x14ac:dyDescent="0.25">
      <c r="B238" s="1" t="s">
        <v>74</v>
      </c>
      <c r="C238" s="2">
        <v>43494</v>
      </c>
      <c r="D238">
        <v>0</v>
      </c>
      <c r="E238">
        <v>0</v>
      </c>
      <c r="F238" s="3">
        <v>30</v>
      </c>
      <c r="T238">
        <v>1</v>
      </c>
      <c r="U238" s="2">
        <v>43116</v>
      </c>
      <c r="V238">
        <v>1.2429842573579699</v>
      </c>
    </row>
    <row r="239" spans="2:22" x14ac:dyDescent="0.25">
      <c r="B239" s="1" t="s">
        <v>74</v>
      </c>
      <c r="C239" s="2">
        <v>44061</v>
      </c>
      <c r="D239">
        <v>0</v>
      </c>
      <c r="E239">
        <v>0</v>
      </c>
      <c r="F239" s="3">
        <v>29</v>
      </c>
      <c r="T239">
        <v>1</v>
      </c>
      <c r="U239" s="2">
        <v>43116</v>
      </c>
      <c r="V239">
        <v>1.2429842573579699</v>
      </c>
    </row>
    <row r="240" spans="2:22" x14ac:dyDescent="0.25">
      <c r="B240" s="1" t="s">
        <v>74</v>
      </c>
      <c r="C240" s="2">
        <v>44657</v>
      </c>
      <c r="D240">
        <v>0.5</v>
      </c>
      <c r="E240">
        <v>0.5</v>
      </c>
      <c r="F240" s="3">
        <v>28</v>
      </c>
      <c r="T240">
        <v>1</v>
      </c>
      <c r="U240" s="2">
        <v>43116</v>
      </c>
      <c r="V240">
        <v>1.2429842573579699</v>
      </c>
    </row>
    <row r="241" spans="2:22" x14ac:dyDescent="0.25">
      <c r="B241" s="1" t="s">
        <v>74</v>
      </c>
      <c r="C241" s="2">
        <v>45169</v>
      </c>
      <c r="D241">
        <v>0</v>
      </c>
      <c r="E241">
        <v>0</v>
      </c>
      <c r="F241" s="3">
        <v>28</v>
      </c>
      <c r="I241">
        <v>16403</v>
      </c>
      <c r="K241">
        <v>1838</v>
      </c>
      <c r="M241">
        <v>433</v>
      </c>
      <c r="O241">
        <v>51.7</v>
      </c>
      <c r="Q241">
        <v>0.11205267329147107</v>
      </c>
      <c r="R241">
        <v>35.551257253384911</v>
      </c>
      <c r="S241">
        <v>1</v>
      </c>
      <c r="T241">
        <v>1</v>
      </c>
      <c r="U241" s="2">
        <v>43116</v>
      </c>
      <c r="V241">
        <v>1.2429842573579699</v>
      </c>
    </row>
    <row r="242" spans="2:22" x14ac:dyDescent="0.25">
      <c r="B242" s="1" t="s">
        <v>75</v>
      </c>
      <c r="C242" s="2">
        <v>42549</v>
      </c>
      <c r="D242">
        <v>1</v>
      </c>
      <c r="E242">
        <v>0.5</v>
      </c>
      <c r="F242" s="3">
        <v>28</v>
      </c>
      <c r="T242">
        <v>1</v>
      </c>
      <c r="U242" s="2">
        <v>44361</v>
      </c>
      <c r="V242">
        <v>5.99863107460643</v>
      </c>
    </row>
    <row r="243" spans="2:22" x14ac:dyDescent="0.25">
      <c r="B243" s="1" t="s">
        <v>75</v>
      </c>
      <c r="C243" s="2">
        <v>42997</v>
      </c>
      <c r="D243">
        <v>0</v>
      </c>
      <c r="E243">
        <v>0</v>
      </c>
      <c r="F243" s="3">
        <v>29</v>
      </c>
      <c r="T243">
        <v>1</v>
      </c>
      <c r="U243" s="2">
        <v>44361</v>
      </c>
      <c r="V243">
        <v>5.99863107460643</v>
      </c>
    </row>
    <row r="244" spans="2:22" x14ac:dyDescent="0.25">
      <c r="B244" s="1" t="s">
        <v>75</v>
      </c>
      <c r="C244" s="2">
        <v>43370</v>
      </c>
      <c r="D244">
        <v>0</v>
      </c>
      <c r="E244">
        <v>0</v>
      </c>
      <c r="F244" s="3">
        <v>30</v>
      </c>
      <c r="G244">
        <v>2557.02437942593</v>
      </c>
      <c r="H244">
        <v>5.8224365232636197</v>
      </c>
      <c r="I244">
        <v>7547.14781165976</v>
      </c>
      <c r="J244">
        <v>0.183395819318074</v>
      </c>
      <c r="K244">
        <v>774.454731777132</v>
      </c>
      <c r="L244">
        <v>0.47773812362860602</v>
      </c>
      <c r="M244">
        <v>245.24242133341201</v>
      </c>
      <c r="N244">
        <v>1.14594168694093</v>
      </c>
      <c r="O244">
        <v>35.162999999999997</v>
      </c>
      <c r="P244">
        <v>8.4577000000000009</v>
      </c>
      <c r="Q244">
        <v>0.1026155510801921</v>
      </c>
      <c r="R244">
        <v>22.024705849248701</v>
      </c>
      <c r="S244">
        <v>0</v>
      </c>
      <c r="T244">
        <v>1</v>
      </c>
      <c r="U244" s="2">
        <v>44361</v>
      </c>
      <c r="V244">
        <v>5.99863107460643</v>
      </c>
    </row>
    <row r="245" spans="2:22" x14ac:dyDescent="0.25">
      <c r="B245" s="1" t="s">
        <v>75</v>
      </c>
      <c r="C245" s="2">
        <v>43621</v>
      </c>
      <c r="D245">
        <v>0</v>
      </c>
      <c r="E245">
        <v>0</v>
      </c>
      <c r="F245" s="3">
        <v>30</v>
      </c>
      <c r="T245">
        <v>1</v>
      </c>
      <c r="U245" s="2">
        <v>44361</v>
      </c>
      <c r="V245">
        <v>5.99863107460643</v>
      </c>
    </row>
    <row r="246" spans="2:22" x14ac:dyDescent="0.25">
      <c r="B246" s="1" t="s">
        <v>75</v>
      </c>
      <c r="C246" s="2">
        <v>44005</v>
      </c>
      <c r="D246">
        <v>0</v>
      </c>
      <c r="E246">
        <v>0</v>
      </c>
      <c r="F246" s="3">
        <v>29</v>
      </c>
      <c r="G246">
        <v>2911.3561886807902</v>
      </c>
      <c r="H246">
        <v>2.6163616691718898</v>
      </c>
      <c r="I246">
        <v>7806.5465780317199</v>
      </c>
      <c r="J246">
        <v>3.0221056263691199</v>
      </c>
      <c r="K246">
        <v>692.68221396495096</v>
      </c>
      <c r="L246">
        <v>6.9019896237326905E-2</v>
      </c>
      <c r="M246">
        <v>302.14757992252203</v>
      </c>
      <c r="N246">
        <v>3.9100403939867401</v>
      </c>
      <c r="O246">
        <v>48.360999999999997</v>
      </c>
      <c r="P246">
        <v>0.33348</v>
      </c>
      <c r="Q246">
        <v>8.8730939736428024E-2</v>
      </c>
      <c r="R246">
        <v>14.32315737815494</v>
      </c>
      <c r="S246">
        <v>0</v>
      </c>
      <c r="T246">
        <v>1</v>
      </c>
      <c r="U246" s="2">
        <v>44361</v>
      </c>
      <c r="V246">
        <v>5.99863107460643</v>
      </c>
    </row>
    <row r="247" spans="2:22" x14ac:dyDescent="0.25">
      <c r="B247" s="1" t="s">
        <v>75</v>
      </c>
      <c r="C247" s="2">
        <v>44361</v>
      </c>
      <c r="D247">
        <v>2</v>
      </c>
      <c r="E247">
        <v>0.5</v>
      </c>
      <c r="F247" s="3">
        <v>29</v>
      </c>
      <c r="T247">
        <v>1</v>
      </c>
      <c r="U247" s="2">
        <v>44361</v>
      </c>
      <c r="V247">
        <v>5.99863107460643</v>
      </c>
    </row>
    <row r="248" spans="2:22" x14ac:dyDescent="0.25">
      <c r="B248" s="1" t="s">
        <v>76</v>
      </c>
      <c r="C248" s="2">
        <v>42562</v>
      </c>
      <c r="D248">
        <v>2</v>
      </c>
      <c r="E248">
        <v>0.5</v>
      </c>
      <c r="F248" s="3">
        <v>30</v>
      </c>
      <c r="T248">
        <v>1</v>
      </c>
      <c r="U248" s="2">
        <v>44697</v>
      </c>
      <c r="V248">
        <v>6.9897330595482501</v>
      </c>
    </row>
    <row r="249" spans="2:22" x14ac:dyDescent="0.25">
      <c r="B249" s="1" t="s">
        <v>76</v>
      </c>
      <c r="C249" s="2">
        <v>42866</v>
      </c>
      <c r="D249">
        <v>0</v>
      </c>
      <c r="E249">
        <v>0</v>
      </c>
      <c r="F249" s="3">
        <v>26</v>
      </c>
      <c r="T249">
        <v>1</v>
      </c>
      <c r="U249" s="2">
        <v>44697</v>
      </c>
      <c r="V249">
        <v>6.9897330595482501</v>
      </c>
    </row>
    <row r="250" spans="2:22" x14ac:dyDescent="0.25">
      <c r="B250" s="1" t="s">
        <v>76</v>
      </c>
      <c r="C250" s="2">
        <v>43234</v>
      </c>
      <c r="D250">
        <v>0</v>
      </c>
      <c r="E250">
        <v>0</v>
      </c>
      <c r="F250" s="3">
        <v>29</v>
      </c>
      <c r="T250">
        <v>1</v>
      </c>
      <c r="U250" s="2">
        <v>44697</v>
      </c>
      <c r="V250">
        <v>6.9897330595482501</v>
      </c>
    </row>
    <row r="251" spans="2:22" x14ac:dyDescent="0.25">
      <c r="B251" s="1" t="s">
        <v>76</v>
      </c>
      <c r="C251" s="2">
        <v>43612</v>
      </c>
      <c r="D251">
        <v>0</v>
      </c>
      <c r="E251">
        <v>0</v>
      </c>
      <c r="F251" s="3">
        <v>30</v>
      </c>
      <c r="T251">
        <v>1</v>
      </c>
      <c r="U251" s="2">
        <v>44697</v>
      </c>
      <c r="V251">
        <v>6.9897330595482501</v>
      </c>
    </row>
    <row r="252" spans="2:22" x14ac:dyDescent="0.25">
      <c r="B252" s="1" t="s">
        <v>76</v>
      </c>
      <c r="C252" s="2">
        <v>44018</v>
      </c>
      <c r="D252">
        <v>0</v>
      </c>
      <c r="E252">
        <v>0</v>
      </c>
      <c r="F252" s="3">
        <v>29</v>
      </c>
      <c r="T252">
        <v>1</v>
      </c>
      <c r="U252" s="2">
        <v>44697</v>
      </c>
      <c r="V252">
        <v>6.9897330595482501</v>
      </c>
    </row>
    <row r="253" spans="2:22" x14ac:dyDescent="0.25">
      <c r="B253" s="1" t="s">
        <v>76</v>
      </c>
      <c r="C253" s="2">
        <v>44508</v>
      </c>
      <c r="D253">
        <v>0</v>
      </c>
      <c r="E253">
        <v>0</v>
      </c>
      <c r="F253" s="3">
        <v>30</v>
      </c>
      <c r="T253">
        <v>1</v>
      </c>
      <c r="U253" s="2">
        <v>44697</v>
      </c>
      <c r="V253">
        <v>6.9897330595482501</v>
      </c>
    </row>
    <row r="254" spans="2:22" x14ac:dyDescent="0.25">
      <c r="B254" s="1" t="s">
        <v>76</v>
      </c>
      <c r="C254" s="2">
        <v>44697</v>
      </c>
      <c r="D254">
        <v>0</v>
      </c>
      <c r="E254">
        <v>0</v>
      </c>
      <c r="F254" s="3">
        <v>30</v>
      </c>
      <c r="T254">
        <v>1</v>
      </c>
      <c r="U254" s="2">
        <v>44697</v>
      </c>
      <c r="V254">
        <v>6.9897330595482501</v>
      </c>
    </row>
    <row r="255" spans="2:22" x14ac:dyDescent="0.25">
      <c r="B255" s="1" t="s">
        <v>76</v>
      </c>
      <c r="C255" s="2">
        <v>45082</v>
      </c>
      <c r="D255">
        <v>0.5</v>
      </c>
      <c r="E255">
        <v>0.5</v>
      </c>
      <c r="F255" s="3">
        <v>29</v>
      </c>
      <c r="T255">
        <v>1</v>
      </c>
      <c r="U255" s="2">
        <v>44697</v>
      </c>
      <c r="V255">
        <v>6.9897330595482501</v>
      </c>
    </row>
    <row r="256" spans="2:22" x14ac:dyDescent="0.25">
      <c r="B256" s="1" t="s">
        <v>77</v>
      </c>
      <c r="C256" s="2">
        <v>43297</v>
      </c>
      <c r="D256">
        <v>0</v>
      </c>
      <c r="E256">
        <v>0</v>
      </c>
      <c r="F256" s="3">
        <v>29</v>
      </c>
      <c r="T256">
        <v>1</v>
      </c>
      <c r="U256" s="2">
        <v>43297</v>
      </c>
      <c r="V256">
        <v>0.98836413415468904</v>
      </c>
    </row>
    <row r="257" spans="2:22" x14ac:dyDescent="0.25">
      <c r="B257" s="1" t="s">
        <v>78</v>
      </c>
      <c r="C257" s="2">
        <v>43670</v>
      </c>
      <c r="D257">
        <v>2</v>
      </c>
      <c r="E257">
        <v>0.5</v>
      </c>
      <c r="F257" s="3">
        <v>29</v>
      </c>
      <c r="T257">
        <v>1</v>
      </c>
      <c r="U257" s="2">
        <v>45077</v>
      </c>
      <c r="V257">
        <v>5.05954825462012</v>
      </c>
    </row>
    <row r="258" spans="2:22" x14ac:dyDescent="0.25">
      <c r="B258" s="1" t="s">
        <v>78</v>
      </c>
      <c r="C258" s="2">
        <v>43978</v>
      </c>
      <c r="D258">
        <v>2</v>
      </c>
      <c r="E258">
        <v>0.5</v>
      </c>
      <c r="F258" s="3">
        <v>30</v>
      </c>
      <c r="T258">
        <v>1</v>
      </c>
      <c r="U258" s="2">
        <v>45077</v>
      </c>
      <c r="V258">
        <v>5.05954825462012</v>
      </c>
    </row>
    <row r="259" spans="2:22" x14ac:dyDescent="0.25">
      <c r="B259" s="1" t="s">
        <v>78</v>
      </c>
      <c r="C259" s="2">
        <v>44342</v>
      </c>
      <c r="D259">
        <v>1</v>
      </c>
      <c r="E259">
        <v>0.5</v>
      </c>
      <c r="F259" s="3">
        <v>30</v>
      </c>
      <c r="T259">
        <v>1</v>
      </c>
      <c r="U259" s="2">
        <v>45077</v>
      </c>
      <c r="V259">
        <v>5.05954825462012</v>
      </c>
    </row>
    <row r="260" spans="2:22" x14ac:dyDescent="0.25">
      <c r="B260" s="1" t="s">
        <v>78</v>
      </c>
      <c r="C260" s="2">
        <v>44704</v>
      </c>
      <c r="D260">
        <v>0.5</v>
      </c>
      <c r="E260">
        <v>0</v>
      </c>
      <c r="F260" s="3">
        <v>30</v>
      </c>
      <c r="T260">
        <v>1</v>
      </c>
      <c r="U260" s="2">
        <v>45077</v>
      </c>
      <c r="V260">
        <v>5.05954825462012</v>
      </c>
    </row>
    <row r="261" spans="2:22" x14ac:dyDescent="0.25">
      <c r="B261" s="1" t="s">
        <v>78</v>
      </c>
      <c r="C261" s="2">
        <v>45077</v>
      </c>
      <c r="D261">
        <v>1</v>
      </c>
      <c r="E261">
        <v>0.5</v>
      </c>
      <c r="F261" s="3">
        <v>30</v>
      </c>
      <c r="T261">
        <v>1</v>
      </c>
      <c r="U261" s="2">
        <v>45077</v>
      </c>
      <c r="V261">
        <v>5.05954825462012</v>
      </c>
    </row>
    <row r="262" spans="2:22" x14ac:dyDescent="0.25">
      <c r="B262" s="1" t="s">
        <v>79</v>
      </c>
      <c r="C262" s="2">
        <v>43262</v>
      </c>
      <c r="D262">
        <v>0</v>
      </c>
      <c r="E262">
        <v>0</v>
      </c>
      <c r="F262" s="3">
        <v>30</v>
      </c>
      <c r="T262">
        <v>1</v>
      </c>
      <c r="U262" s="2">
        <v>44011</v>
      </c>
      <c r="V262">
        <v>3.0609171800136901</v>
      </c>
    </row>
    <row r="263" spans="2:22" x14ac:dyDescent="0.25">
      <c r="B263" s="1" t="s">
        <v>79</v>
      </c>
      <c r="C263" s="2">
        <v>43670</v>
      </c>
      <c r="D263">
        <v>0</v>
      </c>
      <c r="E263">
        <v>0</v>
      </c>
      <c r="F263" s="3">
        <v>27</v>
      </c>
      <c r="T263">
        <v>1</v>
      </c>
      <c r="U263" s="2">
        <v>44011</v>
      </c>
      <c r="V263">
        <v>3.0609171800136901</v>
      </c>
    </row>
    <row r="264" spans="2:22" x14ac:dyDescent="0.25">
      <c r="B264" s="1" t="s">
        <v>79</v>
      </c>
      <c r="C264" s="2">
        <v>44011</v>
      </c>
      <c r="D264">
        <v>0</v>
      </c>
      <c r="E264">
        <v>0</v>
      </c>
      <c r="F264" s="3">
        <v>29</v>
      </c>
      <c r="T264">
        <v>1</v>
      </c>
      <c r="U264" s="2">
        <v>44011</v>
      </c>
      <c r="V264">
        <v>3.0609171800136901</v>
      </c>
    </row>
    <row r="265" spans="2:22" x14ac:dyDescent="0.25">
      <c r="B265" s="1" t="s">
        <v>79</v>
      </c>
      <c r="C265" s="2">
        <v>44368</v>
      </c>
      <c r="F265" s="3">
        <v>29</v>
      </c>
      <c r="T265">
        <v>1</v>
      </c>
      <c r="U265" s="2">
        <v>44011</v>
      </c>
      <c r="V265">
        <v>3.0609171800136901</v>
      </c>
    </row>
    <row r="266" spans="2:22" x14ac:dyDescent="0.25">
      <c r="B266" s="1" t="s">
        <v>79</v>
      </c>
      <c r="C266" s="2">
        <v>44732</v>
      </c>
      <c r="D266">
        <v>0.5</v>
      </c>
      <c r="E266">
        <v>0.5</v>
      </c>
      <c r="F266" s="3">
        <v>28</v>
      </c>
      <c r="T266">
        <v>1</v>
      </c>
      <c r="U266" s="2">
        <v>44011</v>
      </c>
      <c r="V266">
        <v>3.0609171800136901</v>
      </c>
    </row>
    <row r="267" spans="2:22" x14ac:dyDescent="0.25">
      <c r="B267" s="1" t="s">
        <v>80</v>
      </c>
      <c r="C267" s="2">
        <v>43704</v>
      </c>
      <c r="D267">
        <v>0.5</v>
      </c>
      <c r="E267">
        <v>0</v>
      </c>
      <c r="F267" s="3">
        <v>30</v>
      </c>
      <c r="T267">
        <v>1</v>
      </c>
      <c r="U267" s="2">
        <v>43704</v>
      </c>
      <c r="V267">
        <v>1.1854893908282</v>
      </c>
    </row>
    <row r="268" spans="2:22" x14ac:dyDescent="0.25">
      <c r="B268" s="1" t="s">
        <v>80</v>
      </c>
      <c r="C268" s="2">
        <v>44007</v>
      </c>
      <c r="D268">
        <v>0</v>
      </c>
      <c r="E268">
        <v>0</v>
      </c>
      <c r="F268" s="3">
        <v>30</v>
      </c>
      <c r="T268">
        <v>1</v>
      </c>
      <c r="U268" s="2">
        <v>43704</v>
      </c>
      <c r="V268">
        <v>1.1854893908282</v>
      </c>
    </row>
    <row r="269" spans="2:22" x14ac:dyDescent="0.25">
      <c r="B269" s="1" t="s">
        <v>80</v>
      </c>
      <c r="C269" s="2">
        <v>44376</v>
      </c>
      <c r="D269">
        <v>0</v>
      </c>
      <c r="E269">
        <v>0</v>
      </c>
      <c r="F269" s="3">
        <v>30</v>
      </c>
      <c r="T269">
        <v>1</v>
      </c>
      <c r="U269" s="2">
        <v>43704</v>
      </c>
      <c r="V269">
        <v>1.1854893908282</v>
      </c>
    </row>
    <row r="270" spans="2:22" x14ac:dyDescent="0.25">
      <c r="B270" s="1" t="s">
        <v>80</v>
      </c>
      <c r="C270" s="2">
        <v>44831</v>
      </c>
      <c r="D270">
        <v>0</v>
      </c>
      <c r="E270">
        <v>0</v>
      </c>
      <c r="F270" s="3">
        <v>29</v>
      </c>
      <c r="T270">
        <v>1</v>
      </c>
      <c r="U270" s="2">
        <v>43704</v>
      </c>
      <c r="V270">
        <v>1.1854893908282</v>
      </c>
    </row>
    <row r="271" spans="2:22" x14ac:dyDescent="0.25">
      <c r="B271" s="1" t="s">
        <v>80</v>
      </c>
      <c r="C271" s="2">
        <v>45323</v>
      </c>
      <c r="D271">
        <v>0.5</v>
      </c>
      <c r="E271">
        <v>0.5</v>
      </c>
      <c r="F271" s="3">
        <v>29</v>
      </c>
      <c r="T271">
        <v>1</v>
      </c>
      <c r="U271" s="2">
        <v>43704</v>
      </c>
      <c r="V271">
        <v>1.1854893908282</v>
      </c>
    </row>
    <row r="272" spans="2:22" x14ac:dyDescent="0.25">
      <c r="B272" s="1" t="s">
        <v>81</v>
      </c>
      <c r="C272" s="2">
        <v>43285</v>
      </c>
      <c r="D272">
        <v>3</v>
      </c>
      <c r="E272">
        <v>0.5</v>
      </c>
      <c r="F272" s="3">
        <v>29</v>
      </c>
      <c r="G272">
        <v>4795.7448452232302</v>
      </c>
      <c r="H272">
        <v>2.8238969775593401</v>
      </c>
      <c r="I272">
        <v>12294.4910322383</v>
      </c>
      <c r="J272">
        <v>4.90728631717728</v>
      </c>
      <c r="K272">
        <v>717.28204306432895</v>
      </c>
      <c r="L272">
        <v>4.7836458195384299</v>
      </c>
      <c r="M272">
        <v>477.10491059688002</v>
      </c>
      <c r="N272">
        <v>3.4032625806398999</v>
      </c>
      <c r="O272">
        <v>104.95</v>
      </c>
      <c r="Q272">
        <v>5.834174356494224E-2</v>
      </c>
      <c r="R272">
        <v>6.8345120825567314</v>
      </c>
      <c r="S272">
        <v>0</v>
      </c>
      <c r="T272">
        <v>1</v>
      </c>
      <c r="U272" s="2">
        <v>43285</v>
      </c>
      <c r="V272">
        <v>1.04859685147159</v>
      </c>
    </row>
    <row r="273" spans="2:22" x14ac:dyDescent="0.25">
      <c r="B273" s="1" t="s">
        <v>81</v>
      </c>
      <c r="C273" s="2">
        <v>43612</v>
      </c>
      <c r="D273">
        <v>4</v>
      </c>
      <c r="E273">
        <v>0.5</v>
      </c>
      <c r="F273" s="3">
        <v>28</v>
      </c>
      <c r="T273">
        <v>1</v>
      </c>
      <c r="U273" s="2">
        <v>43285</v>
      </c>
      <c r="V273">
        <v>1.04859685147159</v>
      </c>
    </row>
    <row r="274" spans="2:22" x14ac:dyDescent="0.25">
      <c r="B274" s="1" t="s">
        <v>81</v>
      </c>
      <c r="C274" s="2">
        <v>44140</v>
      </c>
      <c r="D274">
        <v>2.5</v>
      </c>
      <c r="E274">
        <v>0.5</v>
      </c>
      <c r="F274" s="3">
        <v>27</v>
      </c>
      <c r="G274">
        <v>4504.8158272702203</v>
      </c>
      <c r="H274">
        <v>0.81637602495856398</v>
      </c>
      <c r="I274">
        <v>11304.099761056899</v>
      </c>
      <c r="J274">
        <v>6.0779515135888799E-2</v>
      </c>
      <c r="K274">
        <v>563.17330769433704</v>
      </c>
      <c r="L274">
        <v>1.8407379941312301</v>
      </c>
      <c r="M274">
        <v>835</v>
      </c>
      <c r="O274">
        <v>122.16</v>
      </c>
      <c r="P274">
        <v>0.23910000000000001</v>
      </c>
      <c r="Q274">
        <v>4.9820270485801343E-2</v>
      </c>
      <c r="R274">
        <v>4.6101285829595371</v>
      </c>
      <c r="S274">
        <v>0</v>
      </c>
      <c r="T274">
        <v>1</v>
      </c>
      <c r="U274" s="2">
        <v>43285</v>
      </c>
      <c r="V274">
        <v>1.04859685147159</v>
      </c>
    </row>
    <row r="275" spans="2:22" x14ac:dyDescent="0.25">
      <c r="B275" s="1" t="s">
        <v>82</v>
      </c>
      <c r="C275" s="2">
        <v>43444</v>
      </c>
      <c r="D275">
        <v>0</v>
      </c>
      <c r="E275">
        <v>0</v>
      </c>
      <c r="F275" s="3">
        <v>30</v>
      </c>
      <c r="T275">
        <v>1</v>
      </c>
      <c r="U275" s="2">
        <v>44179</v>
      </c>
      <c r="V275">
        <v>3.0034223134839202</v>
      </c>
    </row>
    <row r="276" spans="2:22" x14ac:dyDescent="0.25">
      <c r="B276" s="1" t="s">
        <v>82</v>
      </c>
      <c r="C276" s="2">
        <v>43808</v>
      </c>
      <c r="D276">
        <v>0</v>
      </c>
      <c r="E276">
        <v>0</v>
      </c>
      <c r="F276" s="3">
        <v>29</v>
      </c>
      <c r="T276">
        <v>1</v>
      </c>
      <c r="U276" s="2">
        <v>44179</v>
      </c>
      <c r="V276">
        <v>3.0034223134839202</v>
      </c>
    </row>
    <row r="277" spans="2:22" x14ac:dyDescent="0.25">
      <c r="B277" s="1" t="s">
        <v>82</v>
      </c>
      <c r="C277" s="2">
        <v>44179</v>
      </c>
      <c r="D277">
        <v>0</v>
      </c>
      <c r="E277">
        <v>0</v>
      </c>
      <c r="F277" s="3">
        <v>30</v>
      </c>
      <c r="T277">
        <v>1</v>
      </c>
      <c r="U277" s="2">
        <v>44179</v>
      </c>
      <c r="V277">
        <v>3.0034223134839202</v>
      </c>
    </row>
    <row r="278" spans="2:22" x14ac:dyDescent="0.25">
      <c r="B278" s="1" t="s">
        <v>82</v>
      </c>
      <c r="C278" s="2">
        <v>44543</v>
      </c>
      <c r="D278">
        <v>0</v>
      </c>
      <c r="E278">
        <v>0</v>
      </c>
      <c r="F278" s="3">
        <v>30</v>
      </c>
      <c r="T278">
        <v>1</v>
      </c>
      <c r="U278" s="2">
        <v>44179</v>
      </c>
      <c r="V278">
        <v>3.0034223134839202</v>
      </c>
    </row>
    <row r="279" spans="2:22" x14ac:dyDescent="0.25">
      <c r="B279" s="1" t="s">
        <v>82</v>
      </c>
      <c r="C279" s="2">
        <v>44914</v>
      </c>
      <c r="D279">
        <v>0.5</v>
      </c>
      <c r="E279">
        <v>0.5</v>
      </c>
      <c r="F279" s="3">
        <v>30</v>
      </c>
      <c r="T279">
        <v>1</v>
      </c>
      <c r="U279" s="2">
        <v>44179</v>
      </c>
      <c r="V279">
        <v>3.0034223134839202</v>
      </c>
    </row>
    <row r="280" spans="2:22" x14ac:dyDescent="0.25">
      <c r="B280" s="1" t="s">
        <v>83</v>
      </c>
      <c r="C280" s="2">
        <v>43619</v>
      </c>
      <c r="D280">
        <v>0.5</v>
      </c>
      <c r="E280">
        <v>0.5</v>
      </c>
      <c r="F280" s="3">
        <v>30</v>
      </c>
      <c r="T280">
        <v>1</v>
      </c>
      <c r="U280" s="2">
        <v>45055</v>
      </c>
      <c r="V280">
        <v>5.0540725530458603</v>
      </c>
    </row>
    <row r="281" spans="2:22" x14ac:dyDescent="0.25">
      <c r="B281" s="1" t="s">
        <v>83</v>
      </c>
      <c r="C281" s="2">
        <v>43986</v>
      </c>
      <c r="D281">
        <v>0.5</v>
      </c>
      <c r="E281">
        <v>0.5</v>
      </c>
      <c r="F281" s="3">
        <v>30</v>
      </c>
      <c r="T281">
        <v>1</v>
      </c>
      <c r="U281" s="2">
        <v>45055</v>
      </c>
      <c r="V281">
        <v>5.0540725530458603</v>
      </c>
    </row>
    <row r="282" spans="2:22" x14ac:dyDescent="0.25">
      <c r="B282" s="1" t="s">
        <v>83</v>
      </c>
      <c r="C282" s="2">
        <v>44348</v>
      </c>
      <c r="D282">
        <v>1</v>
      </c>
      <c r="E282">
        <v>0.5</v>
      </c>
      <c r="F282" s="3">
        <v>30</v>
      </c>
      <c r="T282">
        <v>1</v>
      </c>
      <c r="U282" s="2">
        <v>45055</v>
      </c>
      <c r="V282">
        <v>5.0540725530458603</v>
      </c>
    </row>
    <row r="283" spans="2:22" x14ac:dyDescent="0.25">
      <c r="B283" s="1" t="s">
        <v>83</v>
      </c>
      <c r="C283" s="2">
        <v>44671</v>
      </c>
      <c r="D283">
        <v>0.5</v>
      </c>
      <c r="E283">
        <v>0.5</v>
      </c>
      <c r="F283" s="3">
        <v>30</v>
      </c>
      <c r="T283">
        <v>1</v>
      </c>
      <c r="U283" s="2">
        <v>45055</v>
      </c>
      <c r="V283">
        <v>5.0540725530458603</v>
      </c>
    </row>
    <row r="284" spans="2:22" x14ac:dyDescent="0.25">
      <c r="B284" s="1" t="s">
        <v>83</v>
      </c>
      <c r="C284" s="2">
        <v>45055</v>
      </c>
      <c r="D284">
        <v>0.5</v>
      </c>
      <c r="E284">
        <v>0.5</v>
      </c>
      <c r="F284" s="3">
        <v>30</v>
      </c>
      <c r="T284">
        <v>1</v>
      </c>
      <c r="U284" s="2">
        <v>45055</v>
      </c>
      <c r="V284">
        <v>5.0540725530458603</v>
      </c>
    </row>
    <row r="285" spans="2:22" x14ac:dyDescent="0.25">
      <c r="B285" s="1" t="s">
        <v>84</v>
      </c>
      <c r="C285" s="2">
        <v>43468</v>
      </c>
      <c r="D285">
        <v>0</v>
      </c>
      <c r="E285">
        <v>0</v>
      </c>
      <c r="F285" s="3">
        <v>29</v>
      </c>
      <c r="T285">
        <v>1</v>
      </c>
      <c r="U285" s="2">
        <v>43468</v>
      </c>
      <c r="V285">
        <v>1.0376454483230699</v>
      </c>
    </row>
    <row r="286" spans="2:22" x14ac:dyDescent="0.25">
      <c r="B286" s="1" t="s">
        <v>84</v>
      </c>
      <c r="C286" s="2">
        <v>43795</v>
      </c>
      <c r="D286">
        <v>0.5</v>
      </c>
      <c r="E286">
        <v>0.5</v>
      </c>
      <c r="F286" s="3">
        <v>29</v>
      </c>
      <c r="G286">
        <v>3253.4224472779101</v>
      </c>
      <c r="H286">
        <v>0.46825271088714998</v>
      </c>
      <c r="I286">
        <v>9278.9079084100795</v>
      </c>
      <c r="J286">
        <v>0.66295767877265899</v>
      </c>
      <c r="K286">
        <v>1055.5634796074501</v>
      </c>
      <c r="L286">
        <v>1.0642170653377101</v>
      </c>
      <c r="M286">
        <v>287.878681462732</v>
      </c>
      <c r="N286">
        <v>2.6610751048361898</v>
      </c>
      <c r="O286">
        <v>51.301000000000002</v>
      </c>
      <c r="P286">
        <v>2.7441</v>
      </c>
      <c r="Q286">
        <v>0.1137594520849511</v>
      </c>
      <c r="R286">
        <v>20.57588506281456</v>
      </c>
      <c r="S286">
        <v>0</v>
      </c>
      <c r="T286">
        <v>1</v>
      </c>
      <c r="U286" s="2">
        <v>43468</v>
      </c>
      <c r="V286">
        <v>1.0376454483230699</v>
      </c>
    </row>
    <row r="287" spans="2:22" x14ac:dyDescent="0.25">
      <c r="B287" s="1" t="s">
        <v>84</v>
      </c>
      <c r="C287" s="2">
        <v>44230</v>
      </c>
      <c r="D287">
        <v>1.5</v>
      </c>
      <c r="E287">
        <v>0.5</v>
      </c>
      <c r="F287" s="3">
        <v>26</v>
      </c>
      <c r="T287">
        <v>1</v>
      </c>
      <c r="U287" s="2">
        <v>43468</v>
      </c>
      <c r="V287">
        <v>1.0376454483230699</v>
      </c>
    </row>
    <row r="288" spans="2:22" x14ac:dyDescent="0.25">
      <c r="B288" s="1" t="s">
        <v>85</v>
      </c>
      <c r="C288" s="2">
        <v>43542</v>
      </c>
      <c r="D288">
        <v>0.5</v>
      </c>
      <c r="E288">
        <v>0</v>
      </c>
      <c r="F288" s="3">
        <v>27</v>
      </c>
      <c r="T288">
        <v>1</v>
      </c>
      <c r="U288" s="2">
        <v>43542</v>
      </c>
      <c r="V288">
        <v>0.95003422313483898</v>
      </c>
    </row>
    <row r="289" spans="2:22" x14ac:dyDescent="0.25">
      <c r="B289" s="1" t="s">
        <v>85</v>
      </c>
      <c r="C289" s="2">
        <v>44012</v>
      </c>
      <c r="D289">
        <v>0</v>
      </c>
      <c r="E289">
        <v>0</v>
      </c>
      <c r="F289" s="3">
        <v>29</v>
      </c>
      <c r="G289">
        <v>3937.88350378524</v>
      </c>
      <c r="H289">
        <v>0.88726310118202001</v>
      </c>
      <c r="I289">
        <v>10369.6311362465</v>
      </c>
      <c r="J289">
        <v>0.194954990878592</v>
      </c>
      <c r="K289">
        <v>1091.5852252616</v>
      </c>
      <c r="L289">
        <v>0.44410748208335599</v>
      </c>
      <c r="M289">
        <v>379.87094076802998</v>
      </c>
      <c r="N289">
        <v>4.7932524634573603</v>
      </c>
      <c r="O289">
        <v>54.024000000000001</v>
      </c>
      <c r="P289">
        <v>0.19469</v>
      </c>
      <c r="Q289">
        <v>0.1052675076788432</v>
      </c>
      <c r="R289">
        <v>20.20556095923293</v>
      </c>
      <c r="S289">
        <v>0</v>
      </c>
      <c r="T289">
        <v>1</v>
      </c>
      <c r="U289" s="2">
        <v>43542</v>
      </c>
      <c r="V289">
        <v>0.95003422313483898</v>
      </c>
    </row>
    <row r="290" spans="2:22" x14ac:dyDescent="0.25">
      <c r="B290" s="1" t="s">
        <v>85</v>
      </c>
      <c r="C290" s="2">
        <v>44466</v>
      </c>
      <c r="D290">
        <v>0</v>
      </c>
      <c r="E290">
        <v>0</v>
      </c>
      <c r="F290" s="3">
        <v>30</v>
      </c>
      <c r="T290">
        <v>1</v>
      </c>
      <c r="U290" s="2">
        <v>43542</v>
      </c>
      <c r="V290">
        <v>0.95003422313483898</v>
      </c>
    </row>
    <row r="291" spans="2:22" x14ac:dyDescent="0.25">
      <c r="B291" s="1" t="s">
        <v>85</v>
      </c>
      <c r="C291" s="2">
        <v>44832</v>
      </c>
      <c r="D291">
        <v>0</v>
      </c>
      <c r="E291">
        <v>0</v>
      </c>
      <c r="F291" s="3">
        <v>30</v>
      </c>
      <c r="I291">
        <v>14046</v>
      </c>
      <c r="K291">
        <v>1219</v>
      </c>
      <c r="M291">
        <v>402</v>
      </c>
      <c r="O291">
        <v>44.1</v>
      </c>
      <c r="Q291">
        <v>8.6786273672219846E-2</v>
      </c>
      <c r="R291">
        <v>27.64172335600907</v>
      </c>
      <c r="S291">
        <v>1</v>
      </c>
      <c r="T291">
        <v>1</v>
      </c>
      <c r="U291" s="2">
        <v>43542</v>
      </c>
      <c r="V291">
        <v>0.95003422313483898</v>
      </c>
    </row>
    <row r="292" spans="2:22" x14ac:dyDescent="0.25">
      <c r="B292" s="1" t="s">
        <v>85</v>
      </c>
      <c r="C292" s="2">
        <v>45219</v>
      </c>
      <c r="D292">
        <v>0</v>
      </c>
      <c r="E292">
        <v>0</v>
      </c>
      <c r="F292" s="3">
        <v>30</v>
      </c>
      <c r="T292">
        <v>1</v>
      </c>
      <c r="U292" s="2">
        <v>43542</v>
      </c>
      <c r="V292">
        <v>0.95003422313483898</v>
      </c>
    </row>
    <row r="293" spans="2:22" x14ac:dyDescent="0.25">
      <c r="B293" s="1" t="s">
        <v>86</v>
      </c>
      <c r="C293" s="2">
        <v>43395</v>
      </c>
      <c r="D293">
        <v>0</v>
      </c>
      <c r="E293">
        <v>0</v>
      </c>
      <c r="F293" s="3">
        <v>30</v>
      </c>
      <c r="T293">
        <v>1</v>
      </c>
      <c r="U293" s="2">
        <v>44848</v>
      </c>
      <c r="V293">
        <v>4.9719370294319001</v>
      </c>
    </row>
    <row r="294" spans="2:22" x14ac:dyDescent="0.25">
      <c r="B294" s="1" t="s">
        <v>86</v>
      </c>
      <c r="C294" s="2">
        <v>43754</v>
      </c>
      <c r="D294">
        <v>0</v>
      </c>
      <c r="E294">
        <v>0</v>
      </c>
      <c r="F294" s="3">
        <v>29</v>
      </c>
      <c r="G294">
        <v>2889.3929897288199</v>
      </c>
      <c r="H294">
        <v>7.01725168744413</v>
      </c>
      <c r="I294">
        <v>7086.7592624044901</v>
      </c>
      <c r="J294">
        <v>5.0923864527339102</v>
      </c>
      <c r="K294">
        <v>856.10329886197599</v>
      </c>
      <c r="L294">
        <v>0.55750716550991297</v>
      </c>
      <c r="M294">
        <v>292.50775890908699</v>
      </c>
      <c r="N294">
        <v>0.62175211980969602</v>
      </c>
      <c r="O294">
        <v>49.963000000000001</v>
      </c>
      <c r="P294">
        <v>0.64559</v>
      </c>
      <c r="Q294">
        <v>0.120803214440151</v>
      </c>
      <c r="R294">
        <v>17.134745689049421</v>
      </c>
      <c r="S294">
        <v>0</v>
      </c>
      <c r="T294">
        <v>1</v>
      </c>
      <c r="U294" s="2">
        <v>44848</v>
      </c>
      <c r="V294">
        <v>4.9719370294319001</v>
      </c>
    </row>
    <row r="295" spans="2:22" x14ac:dyDescent="0.25">
      <c r="B295" s="1" t="s">
        <v>86</v>
      </c>
      <c r="C295" s="2">
        <v>44165</v>
      </c>
      <c r="D295">
        <v>0</v>
      </c>
      <c r="E295">
        <v>0</v>
      </c>
      <c r="F295" s="3">
        <v>30</v>
      </c>
      <c r="T295">
        <v>1</v>
      </c>
      <c r="U295" s="2">
        <v>44848</v>
      </c>
      <c r="V295">
        <v>4.9719370294319001</v>
      </c>
    </row>
    <row r="296" spans="2:22" x14ac:dyDescent="0.25">
      <c r="B296" s="1" t="s">
        <v>86</v>
      </c>
      <c r="C296" s="2">
        <v>44484</v>
      </c>
      <c r="D296">
        <v>0</v>
      </c>
      <c r="E296">
        <v>0</v>
      </c>
      <c r="F296" s="3">
        <v>30</v>
      </c>
      <c r="T296">
        <v>1</v>
      </c>
      <c r="U296" s="2">
        <v>44848</v>
      </c>
      <c r="V296">
        <v>4.9719370294319001</v>
      </c>
    </row>
    <row r="297" spans="2:22" x14ac:dyDescent="0.25">
      <c r="B297" s="1" t="s">
        <v>86</v>
      </c>
      <c r="C297" s="2">
        <v>44848</v>
      </c>
      <c r="D297">
        <v>0.5</v>
      </c>
      <c r="E297">
        <v>0</v>
      </c>
      <c r="F297" s="3">
        <v>28</v>
      </c>
      <c r="I297">
        <v>13698</v>
      </c>
      <c r="K297">
        <v>1453</v>
      </c>
      <c r="M297">
        <v>443</v>
      </c>
      <c r="O297">
        <v>45.4</v>
      </c>
      <c r="Q297">
        <v>0.10607387939845232</v>
      </c>
      <c r="R297">
        <v>32.004405286343612</v>
      </c>
      <c r="S297">
        <v>1</v>
      </c>
      <c r="T297">
        <v>1</v>
      </c>
      <c r="U297" s="2">
        <v>44848</v>
      </c>
      <c r="V297">
        <v>4.9719370294319001</v>
      </c>
    </row>
    <row r="298" spans="2:22" x14ac:dyDescent="0.25">
      <c r="B298" s="1" t="s">
        <v>86</v>
      </c>
      <c r="C298" s="2">
        <v>45254</v>
      </c>
      <c r="D298">
        <v>0.5</v>
      </c>
      <c r="E298">
        <v>0</v>
      </c>
      <c r="F298" s="3">
        <v>28</v>
      </c>
      <c r="T298">
        <v>1</v>
      </c>
      <c r="U298" s="2">
        <v>44848</v>
      </c>
      <c r="V298">
        <v>4.9719370294319001</v>
      </c>
    </row>
    <row r="299" spans="2:22" x14ac:dyDescent="0.25">
      <c r="B299" s="1" t="s">
        <v>87</v>
      </c>
      <c r="C299" s="2">
        <v>43558</v>
      </c>
      <c r="D299">
        <v>0</v>
      </c>
      <c r="E299">
        <v>0</v>
      </c>
      <c r="F299" s="3">
        <v>30</v>
      </c>
      <c r="T299">
        <v>1</v>
      </c>
      <c r="U299" s="2">
        <v>45135</v>
      </c>
      <c r="V299">
        <v>5.3169062286105397</v>
      </c>
    </row>
    <row r="300" spans="2:22" x14ac:dyDescent="0.25">
      <c r="B300" s="1" t="s">
        <v>87</v>
      </c>
      <c r="C300" s="2">
        <v>43950</v>
      </c>
      <c r="D300">
        <v>0</v>
      </c>
      <c r="E300">
        <v>0</v>
      </c>
      <c r="F300" s="3">
        <v>30</v>
      </c>
      <c r="T300">
        <v>1</v>
      </c>
      <c r="U300" s="2">
        <v>45135</v>
      </c>
      <c r="V300">
        <v>5.3169062286105397</v>
      </c>
    </row>
    <row r="301" spans="2:22" x14ac:dyDescent="0.25">
      <c r="B301" s="1" t="s">
        <v>87</v>
      </c>
      <c r="C301" s="2">
        <v>44396</v>
      </c>
      <c r="D301">
        <v>0</v>
      </c>
      <c r="E301">
        <v>0</v>
      </c>
      <c r="F301" s="3">
        <v>28</v>
      </c>
      <c r="T301">
        <v>1</v>
      </c>
      <c r="U301" s="2">
        <v>45135</v>
      </c>
      <c r="V301">
        <v>5.3169062286105397</v>
      </c>
    </row>
    <row r="302" spans="2:22" x14ac:dyDescent="0.25">
      <c r="B302" s="1" t="s">
        <v>87</v>
      </c>
      <c r="C302" s="2">
        <v>44749</v>
      </c>
      <c r="D302">
        <v>0</v>
      </c>
      <c r="E302">
        <v>0</v>
      </c>
      <c r="F302" s="3">
        <v>30</v>
      </c>
      <c r="T302">
        <v>1</v>
      </c>
      <c r="U302" s="2">
        <v>45135</v>
      </c>
      <c r="V302">
        <v>5.3169062286105397</v>
      </c>
    </row>
    <row r="303" spans="2:22" x14ac:dyDescent="0.25">
      <c r="B303" s="1" t="s">
        <v>87</v>
      </c>
      <c r="C303" s="2">
        <v>45135</v>
      </c>
      <c r="D303">
        <v>0</v>
      </c>
      <c r="E303">
        <v>0</v>
      </c>
      <c r="F303" s="3">
        <v>28</v>
      </c>
      <c r="T303">
        <v>1</v>
      </c>
      <c r="U303" s="2">
        <v>45135</v>
      </c>
      <c r="V303">
        <v>5.3169062286105397</v>
      </c>
    </row>
    <row r="304" spans="2:22" x14ac:dyDescent="0.25">
      <c r="B304" s="1" t="s">
        <v>88</v>
      </c>
      <c r="C304" s="2">
        <v>42325</v>
      </c>
      <c r="D304">
        <v>1</v>
      </c>
      <c r="E304">
        <v>0.5</v>
      </c>
      <c r="F304" s="3">
        <v>29</v>
      </c>
      <c r="T304">
        <v>1</v>
      </c>
      <c r="U304" s="2">
        <v>42325</v>
      </c>
      <c r="V304">
        <v>1.05133470225873</v>
      </c>
    </row>
    <row r="305" spans="2:22" x14ac:dyDescent="0.25">
      <c r="B305" s="1" t="s">
        <v>89</v>
      </c>
      <c r="C305" s="2">
        <v>43619</v>
      </c>
      <c r="D305">
        <v>0</v>
      </c>
      <c r="E305">
        <v>0</v>
      </c>
      <c r="F305" s="3">
        <v>28</v>
      </c>
      <c r="T305">
        <v>1</v>
      </c>
      <c r="U305" s="2">
        <v>45131</v>
      </c>
      <c r="V305">
        <v>5.2073921971252597</v>
      </c>
    </row>
    <row r="306" spans="2:22" x14ac:dyDescent="0.25">
      <c r="B306" s="1" t="s">
        <v>89</v>
      </c>
      <c r="C306" s="2">
        <v>43965</v>
      </c>
      <c r="D306">
        <v>0</v>
      </c>
      <c r="E306">
        <v>0</v>
      </c>
      <c r="F306" s="3">
        <v>30</v>
      </c>
      <c r="T306">
        <v>1</v>
      </c>
      <c r="U306" s="2">
        <v>45131</v>
      </c>
      <c r="V306">
        <v>5.2073921971252597</v>
      </c>
    </row>
    <row r="307" spans="2:22" x14ac:dyDescent="0.25">
      <c r="B307" s="1" t="s">
        <v>89</v>
      </c>
      <c r="C307" s="2">
        <v>44337</v>
      </c>
      <c r="D307">
        <v>0</v>
      </c>
      <c r="E307">
        <v>0</v>
      </c>
      <c r="F307" s="3">
        <v>28</v>
      </c>
      <c r="G307">
        <v>2454.7087405365501</v>
      </c>
      <c r="H307">
        <v>0.25224558644038497</v>
      </c>
      <c r="I307">
        <v>7438.1513611581804</v>
      </c>
      <c r="J307">
        <v>3.4400970433436302</v>
      </c>
      <c r="K307">
        <v>591.58707201974903</v>
      </c>
      <c r="L307">
        <v>0.813129300524434</v>
      </c>
      <c r="M307">
        <v>221</v>
      </c>
      <c r="O307">
        <v>41.14</v>
      </c>
      <c r="P307">
        <v>2.4380000000000002</v>
      </c>
      <c r="Q307">
        <v>7.953415348724957E-2</v>
      </c>
      <c r="R307">
        <v>14.379851045691517</v>
      </c>
      <c r="S307">
        <v>0</v>
      </c>
      <c r="T307">
        <v>1</v>
      </c>
      <c r="U307" s="2">
        <v>45131</v>
      </c>
      <c r="V307">
        <v>5.2073921971252597</v>
      </c>
    </row>
    <row r="308" spans="2:22" x14ac:dyDescent="0.25">
      <c r="B308" s="1" t="s">
        <v>89</v>
      </c>
      <c r="C308" s="2">
        <v>45131</v>
      </c>
      <c r="D308">
        <v>0</v>
      </c>
      <c r="E308">
        <v>0</v>
      </c>
      <c r="F308" s="3">
        <v>30</v>
      </c>
      <c r="T308">
        <v>1</v>
      </c>
      <c r="U308" s="2">
        <v>45131</v>
      </c>
      <c r="V308">
        <v>5.2073921971252597</v>
      </c>
    </row>
    <row r="309" spans="2:22" x14ac:dyDescent="0.25">
      <c r="B309" s="1" t="s">
        <v>90</v>
      </c>
      <c r="C309" s="2">
        <v>43419</v>
      </c>
      <c r="D309">
        <v>0</v>
      </c>
      <c r="E309">
        <v>0</v>
      </c>
      <c r="F309" s="3">
        <v>30</v>
      </c>
      <c r="T309">
        <v>1</v>
      </c>
      <c r="U309" s="2">
        <v>43419</v>
      </c>
      <c r="V309">
        <v>0.95824777549623497</v>
      </c>
    </row>
    <row r="310" spans="2:22" x14ac:dyDescent="0.25">
      <c r="B310" s="1" t="s">
        <v>90</v>
      </c>
      <c r="C310" s="2">
        <v>43787</v>
      </c>
      <c r="D310">
        <v>0</v>
      </c>
      <c r="E310">
        <v>0</v>
      </c>
      <c r="F310" s="3">
        <v>29</v>
      </c>
      <c r="T310">
        <v>1</v>
      </c>
      <c r="U310" s="2">
        <v>43419</v>
      </c>
      <c r="V310">
        <v>0.95824777549623497</v>
      </c>
    </row>
    <row r="311" spans="2:22" x14ac:dyDescent="0.25">
      <c r="B311" s="1" t="s">
        <v>90</v>
      </c>
      <c r="C311" s="2">
        <v>44167</v>
      </c>
      <c r="D311">
        <v>0</v>
      </c>
      <c r="E311">
        <v>0</v>
      </c>
      <c r="F311" s="3">
        <v>30</v>
      </c>
      <c r="T311">
        <v>1</v>
      </c>
      <c r="U311" s="2">
        <v>43419</v>
      </c>
      <c r="V311">
        <v>0.95824777549623497</v>
      </c>
    </row>
    <row r="312" spans="2:22" x14ac:dyDescent="0.25">
      <c r="B312" s="1" t="s">
        <v>90</v>
      </c>
      <c r="C312" s="2">
        <v>44529</v>
      </c>
      <c r="D312">
        <v>0</v>
      </c>
      <c r="E312">
        <v>0</v>
      </c>
      <c r="F312" s="3"/>
      <c r="T312">
        <v>1</v>
      </c>
      <c r="U312" s="2">
        <v>43419</v>
      </c>
      <c r="V312">
        <v>0.95824777549623497</v>
      </c>
    </row>
    <row r="313" spans="2:22" x14ac:dyDescent="0.25">
      <c r="B313" s="1" t="s">
        <v>90</v>
      </c>
      <c r="C313" s="2">
        <v>44958</v>
      </c>
      <c r="D313">
        <v>0</v>
      </c>
      <c r="E313">
        <v>0</v>
      </c>
      <c r="F313" s="3">
        <v>30</v>
      </c>
      <c r="T313">
        <v>1</v>
      </c>
      <c r="U313" s="2">
        <v>43419</v>
      </c>
      <c r="V313">
        <v>0.95824777549623497</v>
      </c>
    </row>
    <row r="314" spans="2:22" x14ac:dyDescent="0.25">
      <c r="B314" s="1" t="s">
        <v>90</v>
      </c>
      <c r="C314" s="2">
        <v>45343</v>
      </c>
      <c r="D314">
        <v>0</v>
      </c>
      <c r="E314">
        <v>0</v>
      </c>
      <c r="F314" s="3">
        <v>30</v>
      </c>
      <c r="T314">
        <v>1</v>
      </c>
      <c r="U314" s="2">
        <v>43419</v>
      </c>
      <c r="V314">
        <v>0.95824777549623497</v>
      </c>
    </row>
    <row r="315" spans="2:22" x14ac:dyDescent="0.25">
      <c r="B315" s="1" t="s">
        <v>91</v>
      </c>
      <c r="C315" s="2">
        <v>43430</v>
      </c>
      <c r="D315">
        <v>1</v>
      </c>
      <c r="E315">
        <v>0.5</v>
      </c>
      <c r="F315" s="3">
        <v>28</v>
      </c>
      <c r="T315">
        <v>1</v>
      </c>
      <c r="U315" s="2">
        <v>44490</v>
      </c>
      <c r="V315">
        <v>4.1067761806981498</v>
      </c>
    </row>
    <row r="316" spans="2:22" x14ac:dyDescent="0.25">
      <c r="B316" s="1" t="s">
        <v>91</v>
      </c>
      <c r="C316" s="2">
        <v>44034</v>
      </c>
      <c r="D316">
        <v>0.5</v>
      </c>
      <c r="E316">
        <v>0.5</v>
      </c>
      <c r="F316" s="3">
        <v>29</v>
      </c>
      <c r="T316">
        <v>1</v>
      </c>
      <c r="U316" s="2">
        <v>44490</v>
      </c>
      <c r="V316">
        <v>4.1067761806981498</v>
      </c>
    </row>
    <row r="317" spans="2:22" x14ac:dyDescent="0.25">
      <c r="B317" s="1" t="s">
        <v>91</v>
      </c>
      <c r="C317" s="2">
        <v>44490</v>
      </c>
      <c r="D317">
        <v>1</v>
      </c>
      <c r="E317">
        <v>0.5</v>
      </c>
      <c r="F317" s="3">
        <v>28</v>
      </c>
      <c r="T317">
        <v>1</v>
      </c>
      <c r="U317" s="2">
        <v>44490</v>
      </c>
      <c r="V317">
        <v>4.1067761806981498</v>
      </c>
    </row>
    <row r="318" spans="2:22" x14ac:dyDescent="0.25">
      <c r="B318" s="1" t="s">
        <v>91</v>
      </c>
      <c r="C318" s="2">
        <v>45035</v>
      </c>
      <c r="D318">
        <v>0.5</v>
      </c>
      <c r="E318">
        <v>0</v>
      </c>
      <c r="F318" s="3">
        <v>27</v>
      </c>
      <c r="T318">
        <v>1</v>
      </c>
      <c r="U318" s="2">
        <v>44490</v>
      </c>
      <c r="V318">
        <v>4.1067761806981498</v>
      </c>
    </row>
    <row r="319" spans="2:22" x14ac:dyDescent="0.25">
      <c r="B319" s="1" t="s">
        <v>92</v>
      </c>
      <c r="C319" s="2">
        <v>42422</v>
      </c>
      <c r="D319">
        <v>0</v>
      </c>
      <c r="E319">
        <v>0</v>
      </c>
      <c r="F319" s="3">
        <v>28</v>
      </c>
      <c r="T319">
        <v>1</v>
      </c>
      <c r="U319" s="2">
        <v>45338</v>
      </c>
      <c r="V319">
        <v>8.9993155373032199</v>
      </c>
    </row>
    <row r="320" spans="2:22" x14ac:dyDescent="0.25">
      <c r="B320" s="1" t="s">
        <v>92</v>
      </c>
      <c r="C320" s="2">
        <v>42789</v>
      </c>
      <c r="D320">
        <v>0</v>
      </c>
      <c r="E320">
        <v>0</v>
      </c>
      <c r="F320" s="3">
        <v>30</v>
      </c>
      <c r="T320">
        <v>1</v>
      </c>
      <c r="U320" s="2">
        <v>45338</v>
      </c>
      <c r="V320">
        <v>8.9993155373032199</v>
      </c>
    </row>
    <row r="321" spans="2:22" x14ac:dyDescent="0.25">
      <c r="B321" s="1" t="s">
        <v>92</v>
      </c>
      <c r="C321" s="2">
        <v>43136</v>
      </c>
      <c r="D321">
        <v>0</v>
      </c>
      <c r="E321">
        <v>0</v>
      </c>
      <c r="F321" s="3">
        <v>30</v>
      </c>
      <c r="T321">
        <v>1</v>
      </c>
      <c r="U321" s="2">
        <v>45338</v>
      </c>
      <c r="V321">
        <v>8.9993155373032199</v>
      </c>
    </row>
    <row r="322" spans="2:22" x14ac:dyDescent="0.25">
      <c r="B322" s="1" t="s">
        <v>92</v>
      </c>
      <c r="C322" s="2">
        <v>43517</v>
      </c>
      <c r="D322">
        <v>0</v>
      </c>
      <c r="E322">
        <v>0</v>
      </c>
      <c r="F322" s="3">
        <v>29</v>
      </c>
      <c r="T322">
        <v>1</v>
      </c>
      <c r="U322" s="2">
        <v>45338</v>
      </c>
      <c r="V322">
        <v>8.9993155373032199</v>
      </c>
    </row>
    <row r="323" spans="2:22" x14ac:dyDescent="0.25">
      <c r="B323" s="1" t="s">
        <v>92</v>
      </c>
      <c r="C323" s="2">
        <v>43885</v>
      </c>
      <c r="D323">
        <v>0</v>
      </c>
      <c r="E323">
        <v>0</v>
      </c>
      <c r="F323" s="3">
        <v>29</v>
      </c>
      <c r="T323">
        <v>1</v>
      </c>
      <c r="U323" s="2">
        <v>45338</v>
      </c>
      <c r="V323">
        <v>8.9993155373032199</v>
      </c>
    </row>
    <row r="324" spans="2:22" x14ac:dyDescent="0.25">
      <c r="B324" s="1" t="s">
        <v>92</v>
      </c>
      <c r="C324" s="2">
        <v>44239</v>
      </c>
      <c r="D324">
        <v>0</v>
      </c>
      <c r="E324">
        <v>0</v>
      </c>
      <c r="F324" s="3"/>
      <c r="T324">
        <v>1</v>
      </c>
      <c r="U324" s="2">
        <v>45338</v>
      </c>
      <c r="V324">
        <v>8.9993155373032199</v>
      </c>
    </row>
    <row r="325" spans="2:22" x14ac:dyDescent="0.25">
      <c r="B325" s="1" t="s">
        <v>92</v>
      </c>
      <c r="C325" s="2">
        <v>44638</v>
      </c>
      <c r="F325" s="3">
        <v>30</v>
      </c>
      <c r="T325">
        <v>1</v>
      </c>
      <c r="U325" s="2">
        <v>45338</v>
      </c>
      <c r="V325">
        <v>8.9993155373032199</v>
      </c>
    </row>
    <row r="326" spans="2:22" x14ac:dyDescent="0.25">
      <c r="B326" s="1" t="s">
        <v>92</v>
      </c>
      <c r="C326" s="2">
        <v>44967</v>
      </c>
      <c r="F326" s="3">
        <v>29</v>
      </c>
      <c r="T326">
        <v>1</v>
      </c>
      <c r="U326" s="2">
        <v>45338</v>
      </c>
      <c r="V326">
        <v>8.9993155373032199</v>
      </c>
    </row>
    <row r="327" spans="2:22" x14ac:dyDescent="0.25">
      <c r="B327" s="1" t="s">
        <v>92</v>
      </c>
      <c r="C327" s="2">
        <v>45338</v>
      </c>
      <c r="D327">
        <v>0</v>
      </c>
      <c r="E327">
        <v>0</v>
      </c>
      <c r="F327" s="3">
        <v>29</v>
      </c>
      <c r="T327">
        <v>1</v>
      </c>
      <c r="U327" s="2">
        <v>45338</v>
      </c>
      <c r="V327">
        <v>8.9993155373032199</v>
      </c>
    </row>
    <row r="328" spans="2:22" x14ac:dyDescent="0.25">
      <c r="B328" s="1" t="s">
        <v>93</v>
      </c>
      <c r="C328" s="2">
        <v>42906</v>
      </c>
      <c r="D328">
        <v>0</v>
      </c>
      <c r="E328">
        <v>0</v>
      </c>
      <c r="F328" s="3">
        <v>30</v>
      </c>
      <c r="T328">
        <v>1</v>
      </c>
      <c r="U328" s="2">
        <v>43264</v>
      </c>
      <c r="V328">
        <v>2.16837782340862</v>
      </c>
    </row>
    <row r="329" spans="2:22" x14ac:dyDescent="0.25">
      <c r="B329" s="1" t="s">
        <v>93</v>
      </c>
      <c r="C329" s="2">
        <v>43264</v>
      </c>
      <c r="D329">
        <v>0</v>
      </c>
      <c r="E329">
        <v>0</v>
      </c>
      <c r="F329" s="3">
        <v>28</v>
      </c>
      <c r="G329">
        <v>4597.7033290036798</v>
      </c>
      <c r="H329">
        <v>7.6625731190239499</v>
      </c>
      <c r="I329">
        <v>11778.976338447799</v>
      </c>
      <c r="J329">
        <v>2.56387872817252E-3</v>
      </c>
      <c r="K329">
        <v>1565.37991843039</v>
      </c>
      <c r="L329">
        <v>2.5676461205960099</v>
      </c>
      <c r="M329">
        <v>365.326702151956</v>
      </c>
      <c r="N329">
        <v>2.7338503831761898</v>
      </c>
      <c r="O329">
        <v>71.344999999999999</v>
      </c>
      <c r="P329">
        <v>0.18423999999999999</v>
      </c>
      <c r="Q329">
        <v>0.1328960916001527</v>
      </c>
      <c r="R329">
        <v>21.94098981611031</v>
      </c>
      <c r="S329">
        <v>0</v>
      </c>
      <c r="T329">
        <v>1</v>
      </c>
      <c r="U329" s="2">
        <v>43264</v>
      </c>
      <c r="V329">
        <v>2.16837782340862</v>
      </c>
    </row>
    <row r="330" spans="2:22" x14ac:dyDescent="0.25">
      <c r="B330" s="1" t="s">
        <v>93</v>
      </c>
      <c r="C330" s="2">
        <v>43566</v>
      </c>
      <c r="D330">
        <v>0</v>
      </c>
      <c r="E330">
        <v>0</v>
      </c>
      <c r="F330" s="3">
        <v>30</v>
      </c>
      <c r="T330">
        <v>1</v>
      </c>
      <c r="U330" s="2">
        <v>43264</v>
      </c>
      <c r="V330">
        <v>2.16837782340862</v>
      </c>
    </row>
    <row r="331" spans="2:22" x14ac:dyDescent="0.25">
      <c r="B331" s="1" t="s">
        <v>93</v>
      </c>
      <c r="C331" s="2">
        <v>43956</v>
      </c>
      <c r="D331">
        <v>0</v>
      </c>
      <c r="E331">
        <v>0</v>
      </c>
      <c r="F331" s="3">
        <v>29</v>
      </c>
      <c r="G331">
        <v>4397.5121014784199</v>
      </c>
      <c r="H331">
        <v>2.7214424828175101</v>
      </c>
      <c r="I331">
        <v>11595.423626277699</v>
      </c>
      <c r="J331">
        <v>5.0683116918749196</v>
      </c>
      <c r="K331">
        <v>1470.9599046134001</v>
      </c>
      <c r="L331">
        <v>1.44288908550234</v>
      </c>
      <c r="M331">
        <v>406.33097868444901</v>
      </c>
      <c r="N331">
        <v>3.8569986518708101</v>
      </c>
      <c r="O331">
        <v>78.757000000000005</v>
      </c>
      <c r="P331">
        <v>2.1221000000000001</v>
      </c>
      <c r="Q331">
        <v>0.12685693528953021</v>
      </c>
      <c r="R331">
        <v>18.67719573642216</v>
      </c>
      <c r="S331">
        <v>0</v>
      </c>
      <c r="T331">
        <v>1</v>
      </c>
      <c r="U331" s="2">
        <v>43264</v>
      </c>
      <c r="V331">
        <v>2.16837782340862</v>
      </c>
    </row>
    <row r="332" spans="2:22" x14ac:dyDescent="0.25">
      <c r="B332" s="1" t="s">
        <v>93</v>
      </c>
      <c r="C332" s="2">
        <v>44287</v>
      </c>
      <c r="D332">
        <v>0.5</v>
      </c>
      <c r="E332">
        <v>0.5</v>
      </c>
      <c r="F332" s="3">
        <v>28</v>
      </c>
      <c r="T332">
        <v>1</v>
      </c>
      <c r="U332" s="2">
        <v>43264</v>
      </c>
      <c r="V332">
        <v>2.16837782340862</v>
      </c>
    </row>
    <row r="333" spans="2:22" x14ac:dyDescent="0.25">
      <c r="B333" s="1" t="s">
        <v>93</v>
      </c>
      <c r="C333" s="2">
        <v>44652</v>
      </c>
      <c r="D333">
        <v>0</v>
      </c>
      <c r="E333">
        <v>0</v>
      </c>
      <c r="F333" s="3">
        <v>30</v>
      </c>
      <c r="I333">
        <v>18441</v>
      </c>
      <c r="K333">
        <v>1991</v>
      </c>
      <c r="M333">
        <v>454</v>
      </c>
      <c r="O333">
        <v>60.4</v>
      </c>
      <c r="Q333">
        <v>0.10796594544764383</v>
      </c>
      <c r="R333">
        <v>32.963576158940398</v>
      </c>
      <c r="S333">
        <v>1</v>
      </c>
      <c r="T333">
        <v>1</v>
      </c>
      <c r="U333" s="2">
        <v>43264</v>
      </c>
      <c r="V333">
        <v>2.16837782340862</v>
      </c>
    </row>
    <row r="334" spans="2:22" x14ac:dyDescent="0.25">
      <c r="B334" s="1" t="s">
        <v>93</v>
      </c>
      <c r="C334" s="2">
        <v>45056</v>
      </c>
      <c r="D334">
        <v>0</v>
      </c>
      <c r="E334">
        <v>0</v>
      </c>
      <c r="F334" s="3">
        <v>28</v>
      </c>
      <c r="T334">
        <v>1</v>
      </c>
      <c r="U334" s="2">
        <v>43264</v>
      </c>
      <c r="V334">
        <v>2.16837782340862</v>
      </c>
    </row>
    <row r="335" spans="2:22" x14ac:dyDescent="0.25">
      <c r="B335" s="1" t="s">
        <v>94</v>
      </c>
      <c r="C335" s="2">
        <v>42788</v>
      </c>
      <c r="D335">
        <v>0.5</v>
      </c>
      <c r="E335">
        <v>0.5</v>
      </c>
      <c r="F335" s="3">
        <v>30</v>
      </c>
      <c r="T335">
        <v>1</v>
      </c>
      <c r="U335" s="2">
        <v>43510</v>
      </c>
      <c r="V335">
        <v>2.9212867898699502</v>
      </c>
    </row>
    <row r="336" spans="2:22" x14ac:dyDescent="0.25">
      <c r="B336" s="1" t="s">
        <v>94</v>
      </c>
      <c r="C336" s="2">
        <v>43136</v>
      </c>
      <c r="D336">
        <v>1</v>
      </c>
      <c r="E336">
        <v>0.5</v>
      </c>
      <c r="F336" s="3">
        <v>29</v>
      </c>
      <c r="T336">
        <v>1</v>
      </c>
      <c r="U336" s="2">
        <v>43510</v>
      </c>
      <c r="V336">
        <v>2.9212867898699502</v>
      </c>
    </row>
    <row r="337" spans="2:22" x14ac:dyDescent="0.25">
      <c r="B337" s="1" t="s">
        <v>94</v>
      </c>
      <c r="C337" s="2">
        <v>43510</v>
      </c>
      <c r="D337">
        <v>0.5</v>
      </c>
      <c r="E337">
        <v>0.5</v>
      </c>
      <c r="F337" s="3" t="s">
        <v>31</v>
      </c>
      <c r="T337">
        <v>1</v>
      </c>
      <c r="U337" s="2">
        <v>43510</v>
      </c>
      <c r="V337">
        <v>2.9212867898699502</v>
      </c>
    </row>
    <row r="338" spans="2:22" x14ac:dyDescent="0.25">
      <c r="B338" s="1" t="s">
        <v>94</v>
      </c>
      <c r="C338" s="2">
        <v>43885</v>
      </c>
      <c r="D338" t="s">
        <v>31</v>
      </c>
      <c r="E338" t="s">
        <v>31</v>
      </c>
      <c r="F338" s="3">
        <v>28</v>
      </c>
      <c r="T338">
        <v>1</v>
      </c>
      <c r="U338" s="2">
        <v>43510</v>
      </c>
      <c r="V338">
        <v>2.9212867898699502</v>
      </c>
    </row>
    <row r="339" spans="2:22" x14ac:dyDescent="0.25">
      <c r="B339" s="1" t="s">
        <v>95</v>
      </c>
      <c r="C339" s="2">
        <v>42619</v>
      </c>
      <c r="D339">
        <v>0.5</v>
      </c>
      <c r="E339">
        <v>0.5</v>
      </c>
      <c r="F339" s="3">
        <v>28</v>
      </c>
      <c r="T339">
        <v>1</v>
      </c>
      <c r="U339" s="2">
        <v>42619</v>
      </c>
      <c r="V339">
        <v>1.3607118412046499</v>
      </c>
    </row>
    <row r="340" spans="2:22" x14ac:dyDescent="0.25">
      <c r="B340" s="1" t="s">
        <v>96</v>
      </c>
      <c r="C340" s="2">
        <v>43152</v>
      </c>
      <c r="D340">
        <v>0</v>
      </c>
      <c r="E340">
        <v>0</v>
      </c>
      <c r="F340" s="3">
        <v>29</v>
      </c>
      <c r="T340">
        <v>1</v>
      </c>
      <c r="U340" s="2">
        <v>44963</v>
      </c>
      <c r="V340">
        <v>5.9739904175222396</v>
      </c>
    </row>
    <row r="341" spans="2:22" x14ac:dyDescent="0.25">
      <c r="B341" s="1" t="s">
        <v>96</v>
      </c>
      <c r="C341" s="2">
        <v>43591</v>
      </c>
      <c r="D341">
        <v>0</v>
      </c>
      <c r="E341">
        <v>0</v>
      </c>
      <c r="F341" s="3">
        <v>30</v>
      </c>
      <c r="T341">
        <v>1</v>
      </c>
      <c r="U341" s="2">
        <v>44963</v>
      </c>
      <c r="V341">
        <v>5.9739904175222396</v>
      </c>
    </row>
    <row r="342" spans="2:22" x14ac:dyDescent="0.25">
      <c r="B342" s="1" t="s">
        <v>96</v>
      </c>
      <c r="C342" s="2">
        <v>44963</v>
      </c>
      <c r="D342">
        <v>0</v>
      </c>
      <c r="E342">
        <v>0</v>
      </c>
      <c r="F342" s="3">
        <v>29</v>
      </c>
      <c r="T342">
        <v>1</v>
      </c>
      <c r="U342" s="2">
        <v>44963</v>
      </c>
      <c r="V342">
        <v>5.9739904175222396</v>
      </c>
    </row>
    <row r="343" spans="2:22" x14ac:dyDescent="0.25">
      <c r="B343" s="1" t="s">
        <v>97</v>
      </c>
      <c r="C343" s="2">
        <v>42509</v>
      </c>
      <c r="D343">
        <v>0</v>
      </c>
      <c r="E343">
        <v>0</v>
      </c>
      <c r="F343" s="3">
        <v>29</v>
      </c>
      <c r="T343">
        <v>1</v>
      </c>
      <c r="U343" s="2">
        <v>43334</v>
      </c>
      <c r="V343">
        <v>3.3347022587269</v>
      </c>
    </row>
    <row r="344" spans="2:22" x14ac:dyDescent="0.25">
      <c r="B344" s="1" t="s">
        <v>97</v>
      </c>
      <c r="C344" s="2">
        <v>42879</v>
      </c>
      <c r="D344">
        <v>0.5</v>
      </c>
      <c r="E344">
        <v>0.5</v>
      </c>
      <c r="F344" s="3">
        <v>28</v>
      </c>
      <c r="T344">
        <v>1</v>
      </c>
      <c r="U344" s="2">
        <v>43334</v>
      </c>
      <c r="V344">
        <v>3.3347022587269</v>
      </c>
    </row>
    <row r="345" spans="2:22" x14ac:dyDescent="0.25">
      <c r="B345" s="1" t="s">
        <v>97</v>
      </c>
      <c r="C345" s="2">
        <v>43334</v>
      </c>
      <c r="D345">
        <v>1.5</v>
      </c>
      <c r="E345">
        <v>0.5</v>
      </c>
      <c r="F345" s="3">
        <v>29</v>
      </c>
      <c r="T345">
        <v>1</v>
      </c>
      <c r="U345" s="2">
        <v>43334</v>
      </c>
      <c r="V345">
        <v>3.3347022587269</v>
      </c>
    </row>
    <row r="346" spans="2:22" x14ac:dyDescent="0.25">
      <c r="B346" s="1" t="s">
        <v>97</v>
      </c>
      <c r="C346" s="2">
        <v>43719</v>
      </c>
      <c r="D346">
        <v>0</v>
      </c>
      <c r="E346">
        <v>0</v>
      </c>
      <c r="F346" s="3">
        <v>28</v>
      </c>
      <c r="G346">
        <v>1827.22926845503</v>
      </c>
      <c r="H346">
        <v>0.27497279575387701</v>
      </c>
      <c r="I346">
        <v>7262.6321936438399</v>
      </c>
      <c r="J346">
        <v>1.9545680699299</v>
      </c>
      <c r="K346">
        <v>814.66062321936897</v>
      </c>
      <c r="L346">
        <v>0.44886100225067499</v>
      </c>
      <c r="M346">
        <v>237.71955244390699</v>
      </c>
      <c r="N346">
        <v>2.1034200742900699</v>
      </c>
      <c r="O346">
        <v>45.639000000000003</v>
      </c>
      <c r="P346">
        <v>0.40838000000000002</v>
      </c>
      <c r="Q346">
        <v>0.1121715380179034</v>
      </c>
      <c r="R346">
        <v>17.850098013088999</v>
      </c>
      <c r="S346">
        <v>0</v>
      </c>
      <c r="T346">
        <v>1</v>
      </c>
      <c r="U346" s="2">
        <v>43334</v>
      </c>
      <c r="V346">
        <v>3.3347022587269</v>
      </c>
    </row>
    <row r="347" spans="2:22" x14ac:dyDescent="0.25">
      <c r="B347" s="1" t="s">
        <v>97</v>
      </c>
      <c r="C347" s="2">
        <v>44096</v>
      </c>
      <c r="D347">
        <v>0</v>
      </c>
      <c r="E347">
        <v>0</v>
      </c>
      <c r="F347" s="3">
        <v>29</v>
      </c>
      <c r="T347">
        <v>1</v>
      </c>
      <c r="U347" s="2">
        <v>43334</v>
      </c>
      <c r="V347">
        <v>3.3347022587269</v>
      </c>
    </row>
    <row r="348" spans="2:22" x14ac:dyDescent="0.25">
      <c r="B348" s="1" t="s">
        <v>97</v>
      </c>
      <c r="C348" s="2">
        <v>45147</v>
      </c>
      <c r="D348">
        <v>0.5</v>
      </c>
      <c r="E348">
        <v>0.5</v>
      </c>
      <c r="F348" s="3">
        <v>28</v>
      </c>
      <c r="T348">
        <v>1</v>
      </c>
      <c r="U348" s="2">
        <v>43334</v>
      </c>
      <c r="V348">
        <v>3.3347022587269</v>
      </c>
    </row>
    <row r="349" spans="2:22" x14ac:dyDescent="0.25">
      <c r="B349" s="1" t="s">
        <v>98</v>
      </c>
      <c r="C349" s="2">
        <v>43640</v>
      </c>
      <c r="D349">
        <v>0.5</v>
      </c>
      <c r="E349">
        <v>0.5</v>
      </c>
      <c r="F349" s="3">
        <v>29</v>
      </c>
      <c r="T349">
        <v>1</v>
      </c>
      <c r="U349" s="2">
        <v>44083</v>
      </c>
      <c r="V349">
        <v>2.2012320328542101</v>
      </c>
    </row>
    <row r="350" spans="2:22" x14ac:dyDescent="0.25">
      <c r="B350" s="1" t="s">
        <v>98</v>
      </c>
      <c r="C350" s="2">
        <v>44083</v>
      </c>
      <c r="D350">
        <v>0.5</v>
      </c>
      <c r="E350">
        <v>0.5</v>
      </c>
      <c r="F350" s="3">
        <v>27</v>
      </c>
      <c r="T350">
        <v>1</v>
      </c>
      <c r="U350" s="2">
        <v>44083</v>
      </c>
      <c r="V350">
        <v>2.2012320328542101</v>
      </c>
    </row>
    <row r="351" spans="2:22" x14ac:dyDescent="0.25">
      <c r="B351" s="1" t="s">
        <v>98</v>
      </c>
      <c r="C351" s="2">
        <v>44379</v>
      </c>
      <c r="D351">
        <v>0</v>
      </c>
      <c r="E351">
        <v>0</v>
      </c>
      <c r="F351" s="3"/>
      <c r="T351">
        <v>1</v>
      </c>
      <c r="U351" s="2">
        <v>44083</v>
      </c>
      <c r="V351">
        <v>2.2012320328542101</v>
      </c>
    </row>
    <row r="352" spans="2:22" x14ac:dyDescent="0.25">
      <c r="B352" s="1" t="s">
        <v>98</v>
      </c>
      <c r="C352" s="2">
        <v>44739</v>
      </c>
      <c r="D352">
        <v>0</v>
      </c>
      <c r="E352">
        <v>0</v>
      </c>
      <c r="F352" s="3">
        <v>29</v>
      </c>
      <c r="I352">
        <v>10265</v>
      </c>
      <c r="K352">
        <v>535</v>
      </c>
      <c r="M352">
        <v>477</v>
      </c>
      <c r="O352">
        <v>66.400000000000006</v>
      </c>
      <c r="Q352">
        <v>5.2118850462737461E-2</v>
      </c>
      <c r="R352">
        <v>8.05722891566265</v>
      </c>
      <c r="S352">
        <v>1</v>
      </c>
      <c r="T352">
        <v>1</v>
      </c>
      <c r="U352" s="2">
        <v>44083</v>
      </c>
      <c r="V352">
        <v>2.2012320328542101</v>
      </c>
    </row>
    <row r="353" spans="2:22" x14ac:dyDescent="0.25">
      <c r="B353" s="1" t="s">
        <v>98</v>
      </c>
      <c r="C353" s="2">
        <v>45127</v>
      </c>
      <c r="D353">
        <v>1.5</v>
      </c>
      <c r="E353">
        <v>0.5</v>
      </c>
      <c r="F353" s="3">
        <v>25</v>
      </c>
      <c r="T353">
        <v>1</v>
      </c>
      <c r="U353" s="2">
        <v>44083</v>
      </c>
      <c r="V353">
        <v>2.2012320328542101</v>
      </c>
    </row>
    <row r="354" spans="2:22" x14ac:dyDescent="0.25">
      <c r="B354" s="1" t="s">
        <v>99</v>
      </c>
      <c r="C354" s="2">
        <v>42753</v>
      </c>
      <c r="D354">
        <v>0.5</v>
      </c>
      <c r="E354">
        <v>0.5</v>
      </c>
      <c r="F354" s="3">
        <v>29</v>
      </c>
      <c r="T354">
        <v>1</v>
      </c>
      <c r="U354" s="2">
        <v>43481</v>
      </c>
      <c r="V354">
        <v>3.03080082135524</v>
      </c>
    </row>
    <row r="355" spans="2:22" x14ac:dyDescent="0.25">
      <c r="B355" s="1" t="s">
        <v>99</v>
      </c>
      <c r="C355" s="2">
        <v>43116</v>
      </c>
      <c r="D355">
        <v>0.5</v>
      </c>
      <c r="E355">
        <v>0.5</v>
      </c>
      <c r="F355" s="3">
        <v>29</v>
      </c>
      <c r="G355">
        <v>3920.1509271302102</v>
      </c>
      <c r="H355">
        <v>9.0023417379628805E-3</v>
      </c>
      <c r="I355">
        <v>9615.5783479170696</v>
      </c>
      <c r="J355">
        <v>1.8954704068458701</v>
      </c>
      <c r="K355">
        <v>541.27776055134098</v>
      </c>
      <c r="L355">
        <v>3.1608962653827199</v>
      </c>
      <c r="M355">
        <v>443.02058926246099</v>
      </c>
      <c r="N355">
        <v>2.8466454008594799</v>
      </c>
      <c r="O355">
        <v>79.183999999999997</v>
      </c>
      <c r="P355">
        <v>2.1288999999999998</v>
      </c>
      <c r="Q355">
        <v>5.6291752920779099E-2</v>
      </c>
      <c r="R355">
        <v>6.8356961071850497</v>
      </c>
      <c r="S355">
        <v>0</v>
      </c>
      <c r="T355">
        <v>1</v>
      </c>
      <c r="U355" s="2">
        <v>43481</v>
      </c>
      <c r="V355">
        <v>3.03080082135524</v>
      </c>
    </row>
    <row r="356" spans="2:22" x14ac:dyDescent="0.25">
      <c r="B356" s="1" t="s">
        <v>99</v>
      </c>
      <c r="C356" s="2">
        <v>43481</v>
      </c>
      <c r="D356">
        <v>0</v>
      </c>
      <c r="E356">
        <v>0</v>
      </c>
      <c r="F356" s="3">
        <v>30</v>
      </c>
      <c r="T356">
        <v>1</v>
      </c>
      <c r="U356" s="2">
        <v>43481</v>
      </c>
      <c r="V356">
        <v>3.03080082135524</v>
      </c>
    </row>
    <row r="357" spans="2:22" x14ac:dyDescent="0.25">
      <c r="B357" s="1" t="s">
        <v>99</v>
      </c>
      <c r="C357" s="2">
        <v>43845</v>
      </c>
      <c r="D357">
        <v>0</v>
      </c>
      <c r="E357">
        <v>0</v>
      </c>
      <c r="F357" s="3">
        <v>30</v>
      </c>
      <c r="G357">
        <v>3070.3627344883798</v>
      </c>
      <c r="H357">
        <v>6.2639037862400304</v>
      </c>
      <c r="I357">
        <v>8674.7083161939499</v>
      </c>
      <c r="J357">
        <v>1.2433403850900899</v>
      </c>
      <c r="K357">
        <v>399.24634235300499</v>
      </c>
      <c r="L357">
        <v>0.80292154705913699</v>
      </c>
      <c r="M357">
        <v>591.03722954762804</v>
      </c>
      <c r="N357">
        <v>3.9285669197470399</v>
      </c>
      <c r="O357">
        <v>83.156999999999996</v>
      </c>
      <c r="P357">
        <v>0.18865000000000001</v>
      </c>
      <c r="Q357">
        <v>4.6024180618003223E-2</v>
      </c>
      <c r="R357">
        <v>4.8011152681434517</v>
      </c>
      <c r="S357">
        <v>0</v>
      </c>
      <c r="T357">
        <v>1</v>
      </c>
      <c r="U357" s="2">
        <v>43481</v>
      </c>
      <c r="V357">
        <v>3.03080082135524</v>
      </c>
    </row>
    <row r="358" spans="2:22" x14ac:dyDescent="0.25">
      <c r="B358" s="1" t="s">
        <v>99</v>
      </c>
      <c r="C358" s="2">
        <v>44266</v>
      </c>
      <c r="D358">
        <v>0</v>
      </c>
      <c r="E358">
        <v>0</v>
      </c>
      <c r="F358" s="3">
        <v>29</v>
      </c>
      <c r="T358">
        <v>1</v>
      </c>
      <c r="U358" s="2">
        <v>43481</v>
      </c>
      <c r="V358">
        <v>3.03080082135524</v>
      </c>
    </row>
    <row r="359" spans="2:22" x14ac:dyDescent="0.25">
      <c r="B359" s="1" t="s">
        <v>99</v>
      </c>
      <c r="C359" s="2">
        <v>44651</v>
      </c>
      <c r="D359">
        <v>0</v>
      </c>
      <c r="E359">
        <v>0</v>
      </c>
      <c r="F359" s="3">
        <v>29</v>
      </c>
      <c r="I359">
        <v>13317</v>
      </c>
      <c r="K359">
        <v>591</v>
      </c>
      <c r="M359">
        <v>550</v>
      </c>
      <c r="O359">
        <v>99.7</v>
      </c>
      <c r="Q359">
        <v>4.4379364721784186E-2</v>
      </c>
      <c r="R359">
        <v>5.9277833500501504</v>
      </c>
      <c r="S359">
        <v>1</v>
      </c>
      <c r="T359">
        <v>1</v>
      </c>
      <c r="U359" s="2">
        <v>43481</v>
      </c>
      <c r="V359">
        <v>3.03080082135524</v>
      </c>
    </row>
    <row r="360" spans="2:22" x14ac:dyDescent="0.25">
      <c r="B360" s="1" t="s">
        <v>99</v>
      </c>
      <c r="C360" s="2">
        <v>44965</v>
      </c>
      <c r="D360">
        <v>0</v>
      </c>
      <c r="E360">
        <v>0</v>
      </c>
      <c r="F360" s="3">
        <v>30</v>
      </c>
      <c r="T360">
        <v>1</v>
      </c>
      <c r="U360" s="2">
        <v>43481</v>
      </c>
      <c r="V360">
        <v>3.03080082135524</v>
      </c>
    </row>
    <row r="361" spans="2:22" x14ac:dyDescent="0.25">
      <c r="B361" s="1" t="s">
        <v>99</v>
      </c>
      <c r="C361" s="2">
        <v>45301</v>
      </c>
      <c r="D361">
        <v>0</v>
      </c>
      <c r="E361">
        <v>0</v>
      </c>
      <c r="F361" s="3">
        <v>28</v>
      </c>
      <c r="G361">
        <v>1982.14617025088</v>
      </c>
      <c r="H361">
        <v>1.7556110981895601</v>
      </c>
      <c r="I361">
        <v>6588.0064559883504</v>
      </c>
      <c r="J361">
        <v>0.97705820057227799</v>
      </c>
      <c r="K361">
        <v>397.22509576754499</v>
      </c>
      <c r="L361">
        <v>2.18179580393896</v>
      </c>
      <c r="O361">
        <v>63.645000000000003</v>
      </c>
      <c r="P361">
        <v>2.5333999999999999</v>
      </c>
      <c r="Q361">
        <v>6.029518920803064E-2</v>
      </c>
      <c r="R361">
        <v>6.2412616194130717</v>
      </c>
      <c r="S361">
        <v>0</v>
      </c>
      <c r="T361">
        <v>1</v>
      </c>
      <c r="U361" s="2">
        <v>43481</v>
      </c>
      <c r="V361">
        <v>3.03080082135524</v>
      </c>
    </row>
    <row r="362" spans="2:22" x14ac:dyDescent="0.25">
      <c r="B362" s="1" t="s">
        <v>100</v>
      </c>
      <c r="C362" s="2">
        <v>42718</v>
      </c>
      <c r="D362">
        <v>0</v>
      </c>
      <c r="E362">
        <v>0</v>
      </c>
      <c r="F362" s="3">
        <v>29</v>
      </c>
      <c r="T362">
        <v>1</v>
      </c>
      <c r="U362" s="2">
        <v>42718</v>
      </c>
      <c r="V362">
        <v>2.00958247775496</v>
      </c>
    </row>
    <row r="363" spans="2:22" x14ac:dyDescent="0.25">
      <c r="B363" s="1" t="s">
        <v>101</v>
      </c>
      <c r="C363" s="2">
        <v>43487</v>
      </c>
      <c r="D363">
        <v>0</v>
      </c>
      <c r="E363">
        <v>0</v>
      </c>
      <c r="F363" s="3">
        <v>29</v>
      </c>
      <c r="T363">
        <v>1</v>
      </c>
      <c r="U363" s="2">
        <v>44621</v>
      </c>
      <c r="V363">
        <v>4.2162902121834396</v>
      </c>
    </row>
    <row r="364" spans="2:22" x14ac:dyDescent="0.25">
      <c r="B364" s="1" t="s">
        <v>101</v>
      </c>
      <c r="C364" s="2">
        <v>44012</v>
      </c>
      <c r="D364">
        <v>0.5</v>
      </c>
      <c r="E364">
        <v>0.5</v>
      </c>
      <c r="F364" s="3">
        <v>28</v>
      </c>
      <c r="T364">
        <v>1</v>
      </c>
      <c r="U364" s="2">
        <v>44621</v>
      </c>
      <c r="V364">
        <v>4.2162902121834396</v>
      </c>
    </row>
    <row r="365" spans="2:22" x14ac:dyDescent="0.25">
      <c r="B365" s="1" t="s">
        <v>101</v>
      </c>
      <c r="C365" s="2">
        <v>44621</v>
      </c>
      <c r="D365">
        <v>0</v>
      </c>
      <c r="E365">
        <v>0</v>
      </c>
      <c r="F365" s="3">
        <v>30</v>
      </c>
      <c r="T365">
        <v>1</v>
      </c>
      <c r="U365" s="2">
        <v>44621</v>
      </c>
      <c r="V365">
        <v>4.2162902121834396</v>
      </c>
    </row>
    <row r="366" spans="2:22" x14ac:dyDescent="0.25">
      <c r="B366" s="1" t="s">
        <v>101</v>
      </c>
      <c r="C366" s="2">
        <v>45111</v>
      </c>
      <c r="D366">
        <v>0</v>
      </c>
      <c r="E366">
        <v>0</v>
      </c>
      <c r="F366" s="3" t="s">
        <v>31</v>
      </c>
      <c r="T366">
        <v>1</v>
      </c>
      <c r="U366" s="2">
        <v>44621</v>
      </c>
      <c r="V366">
        <v>4.2162902121834396</v>
      </c>
    </row>
    <row r="367" spans="2:22" x14ac:dyDescent="0.25">
      <c r="B367" s="1" t="s">
        <v>102</v>
      </c>
      <c r="C367" s="2">
        <v>43642</v>
      </c>
      <c r="D367">
        <v>0</v>
      </c>
      <c r="E367">
        <v>0</v>
      </c>
      <c r="F367" s="3">
        <v>30</v>
      </c>
      <c r="T367">
        <v>1</v>
      </c>
      <c r="U367" s="2">
        <v>45128</v>
      </c>
      <c r="V367">
        <v>5.05954825462012</v>
      </c>
    </row>
    <row r="368" spans="2:22" x14ac:dyDescent="0.25">
      <c r="B368" s="1" t="s">
        <v>102</v>
      </c>
      <c r="C368" s="2">
        <v>44413</v>
      </c>
      <c r="D368">
        <v>0</v>
      </c>
      <c r="E368">
        <v>0</v>
      </c>
      <c r="F368" s="3">
        <v>28</v>
      </c>
      <c r="T368">
        <v>1</v>
      </c>
      <c r="U368" s="2">
        <v>45128</v>
      </c>
      <c r="V368">
        <v>5.05954825462012</v>
      </c>
    </row>
    <row r="369" spans="2:22" x14ac:dyDescent="0.25">
      <c r="B369" s="1" t="s">
        <v>102</v>
      </c>
      <c r="C369" s="2">
        <v>44910</v>
      </c>
      <c r="D369">
        <v>0</v>
      </c>
      <c r="E369">
        <v>0</v>
      </c>
      <c r="F369" s="3">
        <v>29</v>
      </c>
      <c r="T369">
        <v>1</v>
      </c>
      <c r="U369" s="2">
        <v>45128</v>
      </c>
      <c r="V369">
        <v>5.05954825462012</v>
      </c>
    </row>
    <row r="370" spans="2:22" x14ac:dyDescent="0.25">
      <c r="B370" s="1" t="s">
        <v>102</v>
      </c>
      <c r="C370" s="2">
        <v>45128</v>
      </c>
      <c r="D370">
        <v>0</v>
      </c>
      <c r="E370">
        <v>0</v>
      </c>
      <c r="F370" s="3">
        <v>29</v>
      </c>
      <c r="T370">
        <v>1</v>
      </c>
      <c r="U370" s="2">
        <v>45128</v>
      </c>
      <c r="V370">
        <v>5.05954825462012</v>
      </c>
    </row>
    <row r="371" spans="2:22" x14ac:dyDescent="0.25">
      <c r="B371" s="1" t="s">
        <v>103</v>
      </c>
      <c r="C371" s="2">
        <v>42926</v>
      </c>
      <c r="D371">
        <v>0</v>
      </c>
      <c r="E371">
        <v>0</v>
      </c>
      <c r="F371" s="3">
        <v>27</v>
      </c>
      <c r="T371">
        <v>1</v>
      </c>
      <c r="U371" s="2">
        <v>43304</v>
      </c>
      <c r="V371">
        <v>2.0068446269678302</v>
      </c>
    </row>
    <row r="372" spans="2:22" x14ac:dyDescent="0.25">
      <c r="B372" s="1" t="s">
        <v>103</v>
      </c>
      <c r="C372" s="2">
        <v>43304</v>
      </c>
      <c r="D372">
        <v>0</v>
      </c>
      <c r="E372">
        <v>0</v>
      </c>
      <c r="F372" s="3">
        <v>28</v>
      </c>
      <c r="T372">
        <v>1</v>
      </c>
      <c r="U372" s="2">
        <v>43304</v>
      </c>
      <c r="V372">
        <v>2.0068446269678302</v>
      </c>
    </row>
    <row r="373" spans="2:22" x14ac:dyDescent="0.25">
      <c r="B373" s="1" t="s">
        <v>103</v>
      </c>
      <c r="C373" s="2">
        <v>43668</v>
      </c>
      <c r="D373">
        <v>0</v>
      </c>
      <c r="E373">
        <v>0</v>
      </c>
      <c r="F373" s="3">
        <v>30</v>
      </c>
      <c r="T373">
        <v>1</v>
      </c>
      <c r="U373" s="2">
        <v>43304</v>
      </c>
      <c r="V373">
        <v>2.0068446269678302</v>
      </c>
    </row>
    <row r="374" spans="2:22" x14ac:dyDescent="0.25">
      <c r="B374" s="1" t="s">
        <v>103</v>
      </c>
      <c r="C374" s="2">
        <v>44013</v>
      </c>
      <c r="D374">
        <v>0</v>
      </c>
      <c r="E374">
        <v>0</v>
      </c>
      <c r="F374" s="3">
        <v>29</v>
      </c>
      <c r="T374">
        <v>1</v>
      </c>
      <c r="U374" s="2">
        <v>43304</v>
      </c>
      <c r="V374">
        <v>2.0068446269678302</v>
      </c>
    </row>
    <row r="375" spans="2:22" x14ac:dyDescent="0.25">
      <c r="B375" s="1" t="s">
        <v>103</v>
      </c>
      <c r="C375" s="2">
        <v>44376</v>
      </c>
      <c r="D375">
        <v>0</v>
      </c>
      <c r="E375">
        <v>0</v>
      </c>
      <c r="F375" s="3">
        <v>30</v>
      </c>
      <c r="T375">
        <v>1</v>
      </c>
      <c r="U375" s="2">
        <v>43304</v>
      </c>
      <c r="V375">
        <v>2.0068446269678302</v>
      </c>
    </row>
    <row r="376" spans="2:22" x14ac:dyDescent="0.25">
      <c r="B376" s="1" t="s">
        <v>103</v>
      </c>
      <c r="C376" s="2">
        <v>44769</v>
      </c>
      <c r="D376">
        <v>0</v>
      </c>
      <c r="E376">
        <v>0</v>
      </c>
      <c r="F376" s="3">
        <v>29</v>
      </c>
      <c r="T376">
        <v>1</v>
      </c>
      <c r="U376" s="2">
        <v>43304</v>
      </c>
      <c r="V376">
        <v>2.0068446269678302</v>
      </c>
    </row>
    <row r="377" spans="2:22" x14ac:dyDescent="0.25">
      <c r="B377" s="1" t="s">
        <v>104</v>
      </c>
      <c r="C377" s="2">
        <v>43060</v>
      </c>
      <c r="D377">
        <v>0</v>
      </c>
      <c r="E377">
        <v>0</v>
      </c>
      <c r="F377" s="3">
        <v>27</v>
      </c>
      <c r="T377">
        <v>1</v>
      </c>
      <c r="U377" s="2">
        <v>44582</v>
      </c>
      <c r="V377">
        <v>5.2183436002737897</v>
      </c>
    </row>
    <row r="378" spans="2:22" x14ac:dyDescent="0.25">
      <c r="B378" s="1" t="s">
        <v>104</v>
      </c>
      <c r="C378" s="2">
        <v>43411</v>
      </c>
      <c r="D378">
        <v>0.5</v>
      </c>
      <c r="E378">
        <v>0.5</v>
      </c>
      <c r="F378" s="3">
        <v>28</v>
      </c>
      <c r="T378">
        <v>1</v>
      </c>
      <c r="U378" s="2">
        <v>44582</v>
      </c>
      <c r="V378">
        <v>5.2183436002737897</v>
      </c>
    </row>
    <row r="379" spans="2:22" x14ac:dyDescent="0.25">
      <c r="B379" s="1" t="s">
        <v>104</v>
      </c>
      <c r="C379" s="2">
        <v>43795</v>
      </c>
      <c r="D379">
        <v>0.5</v>
      </c>
      <c r="E379">
        <v>0.5</v>
      </c>
      <c r="F379" s="3">
        <v>27</v>
      </c>
      <c r="T379">
        <v>1</v>
      </c>
      <c r="U379" s="2">
        <v>44582</v>
      </c>
      <c r="V379">
        <v>5.2183436002737897</v>
      </c>
    </row>
    <row r="380" spans="2:22" x14ac:dyDescent="0.25">
      <c r="B380" s="1" t="s">
        <v>104</v>
      </c>
      <c r="C380" s="2">
        <v>44174</v>
      </c>
      <c r="D380">
        <v>1</v>
      </c>
      <c r="E380">
        <v>0.5</v>
      </c>
      <c r="F380" s="3">
        <v>28</v>
      </c>
      <c r="G380">
        <v>2041.5182672686699</v>
      </c>
      <c r="H380">
        <v>1.2452718484559</v>
      </c>
      <c r="I380">
        <v>6956.37438218429</v>
      </c>
      <c r="J380">
        <v>2.77608806164874</v>
      </c>
      <c r="K380">
        <v>439.616606782421</v>
      </c>
      <c r="L380">
        <v>5.8441971052622603E-2</v>
      </c>
      <c r="M380">
        <v>357</v>
      </c>
      <c r="O380">
        <v>62.207000000000001</v>
      </c>
      <c r="P380">
        <v>1.7013</v>
      </c>
      <c r="Q380">
        <v>6.3196225882883275E-2</v>
      </c>
      <c r="R380">
        <v>7.0669957847576796</v>
      </c>
      <c r="S380">
        <v>0</v>
      </c>
      <c r="T380">
        <v>1</v>
      </c>
      <c r="U380" s="2">
        <v>44582</v>
      </c>
      <c r="V380">
        <v>5.2183436002737897</v>
      </c>
    </row>
    <row r="381" spans="2:22" x14ac:dyDescent="0.25">
      <c r="B381" s="1" t="s">
        <v>104</v>
      </c>
      <c r="C381" s="2">
        <v>44582</v>
      </c>
      <c r="D381">
        <v>1</v>
      </c>
      <c r="E381">
        <v>0.5</v>
      </c>
      <c r="F381" s="3">
        <v>27</v>
      </c>
      <c r="T381">
        <v>1</v>
      </c>
      <c r="U381" s="2">
        <v>44582</v>
      </c>
      <c r="V381">
        <v>5.2183436002737897</v>
      </c>
    </row>
    <row r="382" spans="2:22" x14ac:dyDescent="0.25">
      <c r="B382" s="1" t="s">
        <v>104</v>
      </c>
      <c r="C382" s="2">
        <v>44881</v>
      </c>
      <c r="D382">
        <v>1</v>
      </c>
      <c r="E382">
        <v>0.5</v>
      </c>
      <c r="F382" s="3">
        <v>22</v>
      </c>
      <c r="I382">
        <v>9339</v>
      </c>
      <c r="K382">
        <v>559</v>
      </c>
      <c r="M382">
        <v>418</v>
      </c>
      <c r="O382">
        <v>64.900000000000006</v>
      </c>
      <c r="Q382">
        <v>5.985651568690438E-2</v>
      </c>
      <c r="R382">
        <v>8.6132511556240363</v>
      </c>
      <c r="S382">
        <v>1</v>
      </c>
      <c r="T382">
        <v>1</v>
      </c>
      <c r="U382" s="2">
        <v>44582</v>
      </c>
      <c r="V382">
        <v>5.2183436002737897</v>
      </c>
    </row>
    <row r="383" spans="2:22" x14ac:dyDescent="0.25">
      <c r="B383" s="1" t="s">
        <v>104</v>
      </c>
      <c r="C383" s="2">
        <v>45247</v>
      </c>
      <c r="D383">
        <v>0.5</v>
      </c>
      <c r="E383">
        <v>0.5</v>
      </c>
      <c r="F383" s="3">
        <v>26</v>
      </c>
      <c r="T383">
        <v>1</v>
      </c>
      <c r="U383" s="2">
        <v>44582</v>
      </c>
      <c r="V383">
        <v>5.2183436002737897</v>
      </c>
    </row>
    <row r="384" spans="2:22" x14ac:dyDescent="0.25">
      <c r="B384" s="1" t="s">
        <v>105</v>
      </c>
      <c r="C384" s="2">
        <v>42696</v>
      </c>
      <c r="D384">
        <v>0</v>
      </c>
      <c r="E384">
        <v>0</v>
      </c>
      <c r="F384" s="3">
        <v>29</v>
      </c>
      <c r="T384">
        <v>1</v>
      </c>
      <c r="U384" s="2">
        <v>44466</v>
      </c>
      <c r="V384">
        <v>5.9876796714579097</v>
      </c>
    </row>
    <row r="385" spans="2:22" x14ac:dyDescent="0.25">
      <c r="B385" s="1" t="s">
        <v>105</v>
      </c>
      <c r="C385" s="2">
        <v>43108</v>
      </c>
      <c r="D385">
        <v>0</v>
      </c>
      <c r="E385">
        <v>0</v>
      </c>
      <c r="F385" s="3">
        <v>29</v>
      </c>
      <c r="T385">
        <v>1</v>
      </c>
      <c r="U385" s="2">
        <v>44466</v>
      </c>
      <c r="V385">
        <v>5.9876796714579097</v>
      </c>
    </row>
    <row r="386" spans="2:22" x14ac:dyDescent="0.25">
      <c r="B386" s="1" t="s">
        <v>105</v>
      </c>
      <c r="C386" s="2">
        <v>44466</v>
      </c>
      <c r="D386">
        <v>0.5</v>
      </c>
      <c r="E386">
        <v>0.5</v>
      </c>
      <c r="F386" s="3">
        <v>27</v>
      </c>
      <c r="T386">
        <v>1</v>
      </c>
      <c r="U386" s="2">
        <v>44466</v>
      </c>
      <c r="V386">
        <v>5.9876796714579097</v>
      </c>
    </row>
    <row r="387" spans="2:22" x14ac:dyDescent="0.25">
      <c r="B387" s="1" t="s">
        <v>106</v>
      </c>
      <c r="C387" s="2">
        <v>43262</v>
      </c>
      <c r="D387">
        <v>0</v>
      </c>
      <c r="E387">
        <v>0</v>
      </c>
      <c r="F387" s="3">
        <v>30</v>
      </c>
      <c r="T387">
        <v>1</v>
      </c>
      <c r="U387" s="2">
        <v>45103</v>
      </c>
      <c r="V387">
        <v>6.0670773442847397</v>
      </c>
    </row>
    <row r="388" spans="2:22" x14ac:dyDescent="0.25">
      <c r="B388" s="1" t="s">
        <v>106</v>
      </c>
      <c r="C388" s="2">
        <v>44018</v>
      </c>
      <c r="D388">
        <v>0</v>
      </c>
      <c r="E388">
        <v>0</v>
      </c>
      <c r="F388" s="3">
        <v>28</v>
      </c>
      <c r="T388">
        <v>1</v>
      </c>
      <c r="U388" s="2">
        <v>45103</v>
      </c>
      <c r="V388">
        <v>6.0670773442847397</v>
      </c>
    </row>
    <row r="389" spans="2:22" x14ac:dyDescent="0.25">
      <c r="B389" s="1" t="s">
        <v>106</v>
      </c>
      <c r="C389" s="2">
        <v>44361</v>
      </c>
      <c r="D389">
        <v>1.5</v>
      </c>
      <c r="E389">
        <v>0.5</v>
      </c>
      <c r="F389" s="3">
        <v>30</v>
      </c>
      <c r="T389">
        <v>1</v>
      </c>
      <c r="U389" s="2">
        <v>45103</v>
      </c>
      <c r="V389">
        <v>6.0670773442847397</v>
      </c>
    </row>
    <row r="390" spans="2:22" x14ac:dyDescent="0.25">
      <c r="B390" s="1" t="s">
        <v>106</v>
      </c>
      <c r="C390" s="2">
        <v>44732</v>
      </c>
      <c r="D390" t="s">
        <v>31</v>
      </c>
      <c r="E390">
        <v>0.5</v>
      </c>
      <c r="F390" s="3">
        <v>30</v>
      </c>
      <c r="T390">
        <v>1</v>
      </c>
      <c r="U390" s="2">
        <v>45103</v>
      </c>
      <c r="V390">
        <v>6.0670773442847397</v>
      </c>
    </row>
    <row r="391" spans="2:22" x14ac:dyDescent="0.25">
      <c r="B391" s="1" t="s">
        <v>106</v>
      </c>
      <c r="C391" s="2">
        <v>45103</v>
      </c>
      <c r="D391">
        <v>0</v>
      </c>
      <c r="E391">
        <v>0</v>
      </c>
      <c r="F391" s="3">
        <v>30</v>
      </c>
      <c r="T391">
        <v>1</v>
      </c>
      <c r="U391" s="2">
        <v>45103</v>
      </c>
      <c r="V391">
        <v>6.0670773442847397</v>
      </c>
    </row>
    <row r="392" spans="2:22" x14ac:dyDescent="0.25">
      <c r="B392" s="1" t="s">
        <v>107</v>
      </c>
      <c r="C392" s="2">
        <v>42494</v>
      </c>
      <c r="D392">
        <v>0</v>
      </c>
      <c r="E392">
        <v>0</v>
      </c>
      <c r="F392" s="3">
        <v>29</v>
      </c>
      <c r="T392">
        <v>1</v>
      </c>
      <c r="U392" s="2">
        <v>42494</v>
      </c>
      <c r="V392">
        <v>0.98015058179329195</v>
      </c>
    </row>
    <row r="393" spans="2:22" x14ac:dyDescent="0.25">
      <c r="B393" s="1" t="s">
        <v>108</v>
      </c>
      <c r="C393" s="2">
        <v>43474</v>
      </c>
      <c r="D393">
        <v>0.5</v>
      </c>
      <c r="E393">
        <v>0.5</v>
      </c>
      <c r="F393" s="3">
        <v>29</v>
      </c>
      <c r="T393">
        <v>1</v>
      </c>
      <c r="U393" s="2">
        <v>44523</v>
      </c>
      <c r="V393">
        <v>3.88501026694045</v>
      </c>
    </row>
    <row r="394" spans="2:22" x14ac:dyDescent="0.25">
      <c r="B394" s="1" t="s">
        <v>108</v>
      </c>
      <c r="C394" s="2">
        <v>44041</v>
      </c>
      <c r="D394">
        <v>0.5</v>
      </c>
      <c r="E394">
        <v>0.5</v>
      </c>
      <c r="F394" s="3">
        <v>28</v>
      </c>
      <c r="T394">
        <v>1</v>
      </c>
      <c r="U394" s="2">
        <v>44523</v>
      </c>
      <c r="V394">
        <v>3.88501026694045</v>
      </c>
    </row>
    <row r="395" spans="2:22" x14ac:dyDescent="0.25">
      <c r="B395" s="1" t="s">
        <v>108</v>
      </c>
      <c r="C395" s="2">
        <v>44523</v>
      </c>
      <c r="D395">
        <v>0.5</v>
      </c>
      <c r="E395">
        <v>0.5</v>
      </c>
      <c r="F395" s="3">
        <v>30</v>
      </c>
      <c r="T395">
        <v>1</v>
      </c>
      <c r="U395" s="2">
        <v>44523</v>
      </c>
      <c r="V395">
        <v>3.88501026694045</v>
      </c>
    </row>
    <row r="396" spans="2:22" x14ac:dyDescent="0.25">
      <c r="B396" s="1" t="s">
        <v>108</v>
      </c>
      <c r="C396" s="2">
        <v>45068</v>
      </c>
      <c r="D396">
        <v>0.5</v>
      </c>
      <c r="E396">
        <v>0.5</v>
      </c>
      <c r="F396" s="3">
        <v>28</v>
      </c>
      <c r="T396">
        <v>1</v>
      </c>
      <c r="U396" s="2">
        <v>44523</v>
      </c>
      <c r="V396">
        <v>3.88501026694045</v>
      </c>
    </row>
    <row r="397" spans="2:22" x14ac:dyDescent="0.25">
      <c r="B397" s="1" t="s">
        <v>109</v>
      </c>
      <c r="C397" s="2">
        <v>42240</v>
      </c>
      <c r="D397">
        <v>1.5</v>
      </c>
      <c r="E397">
        <v>0.5</v>
      </c>
      <c r="F397" s="3">
        <v>30</v>
      </c>
      <c r="T397">
        <v>1</v>
      </c>
      <c r="U397" s="2">
        <v>43040</v>
      </c>
      <c r="V397">
        <v>3.1676933607118398</v>
      </c>
    </row>
    <row r="398" spans="2:22" x14ac:dyDescent="0.25">
      <c r="B398" s="1" t="s">
        <v>109</v>
      </c>
      <c r="C398" s="2">
        <v>42611</v>
      </c>
      <c r="D398">
        <v>0.5</v>
      </c>
      <c r="E398">
        <v>0</v>
      </c>
      <c r="F398" s="3">
        <v>30</v>
      </c>
      <c r="T398">
        <v>1</v>
      </c>
      <c r="U398" s="2">
        <v>43040</v>
      </c>
      <c r="V398">
        <v>3.1676933607118398</v>
      </c>
    </row>
    <row r="399" spans="2:22" x14ac:dyDescent="0.25">
      <c r="B399" s="1" t="s">
        <v>109</v>
      </c>
      <c r="C399" s="2">
        <v>43040</v>
      </c>
      <c r="D399">
        <v>0</v>
      </c>
      <c r="E399">
        <v>0</v>
      </c>
      <c r="F399" s="3">
        <v>29</v>
      </c>
      <c r="T399">
        <v>1</v>
      </c>
      <c r="U399" s="2">
        <v>43040</v>
      </c>
      <c r="V399">
        <v>3.1676933607118398</v>
      </c>
    </row>
    <row r="400" spans="2:22" x14ac:dyDescent="0.25">
      <c r="B400" s="1" t="s">
        <v>109</v>
      </c>
      <c r="C400" s="2">
        <v>43381</v>
      </c>
      <c r="D400">
        <v>0</v>
      </c>
      <c r="E400">
        <v>0</v>
      </c>
      <c r="F400" s="3">
        <v>30</v>
      </c>
      <c r="T400">
        <v>1</v>
      </c>
      <c r="U400" s="2">
        <v>43040</v>
      </c>
      <c r="V400">
        <v>3.1676933607118398</v>
      </c>
    </row>
    <row r="401" spans="2:22" x14ac:dyDescent="0.25">
      <c r="B401" s="1" t="s">
        <v>109</v>
      </c>
      <c r="C401" s="2">
        <v>43713</v>
      </c>
      <c r="D401">
        <v>0</v>
      </c>
      <c r="E401">
        <v>0</v>
      </c>
      <c r="F401" s="3">
        <v>29</v>
      </c>
      <c r="T401">
        <v>1</v>
      </c>
      <c r="U401" s="2">
        <v>43040</v>
      </c>
      <c r="V401">
        <v>3.1676933607118398</v>
      </c>
    </row>
    <row r="402" spans="2:22" x14ac:dyDescent="0.25">
      <c r="B402" s="1" t="s">
        <v>109</v>
      </c>
      <c r="C402" s="2">
        <v>44102</v>
      </c>
      <c r="D402">
        <v>0</v>
      </c>
      <c r="E402">
        <v>0</v>
      </c>
      <c r="F402" s="3">
        <v>29</v>
      </c>
      <c r="T402">
        <v>1</v>
      </c>
      <c r="U402" s="2">
        <v>43040</v>
      </c>
      <c r="V402">
        <v>3.1676933607118398</v>
      </c>
    </row>
    <row r="403" spans="2:22" x14ac:dyDescent="0.25">
      <c r="B403" s="1" t="s">
        <v>109</v>
      </c>
      <c r="C403" s="2">
        <v>44475</v>
      </c>
      <c r="D403">
        <v>0.5</v>
      </c>
      <c r="E403">
        <v>0.5</v>
      </c>
      <c r="F403" s="3">
        <v>29</v>
      </c>
      <c r="T403">
        <v>1</v>
      </c>
      <c r="U403" s="2">
        <v>43040</v>
      </c>
      <c r="V403">
        <v>3.1676933607118398</v>
      </c>
    </row>
    <row r="404" spans="2:22" x14ac:dyDescent="0.25">
      <c r="B404" s="1" t="s">
        <v>109</v>
      </c>
      <c r="C404" s="2">
        <v>44826</v>
      </c>
      <c r="D404">
        <v>0</v>
      </c>
      <c r="E404">
        <v>0</v>
      </c>
      <c r="F404" s="3">
        <v>28</v>
      </c>
      <c r="T404">
        <v>1</v>
      </c>
      <c r="U404" s="2">
        <v>43040</v>
      </c>
      <c r="V404">
        <v>3.1676933607118398</v>
      </c>
    </row>
    <row r="405" spans="2:22" x14ac:dyDescent="0.25">
      <c r="B405" s="1" t="s">
        <v>109</v>
      </c>
      <c r="C405" s="2">
        <v>45243</v>
      </c>
      <c r="D405">
        <v>0</v>
      </c>
      <c r="E405">
        <v>0</v>
      </c>
      <c r="F405" s="3">
        <v>29</v>
      </c>
      <c r="T405">
        <v>1</v>
      </c>
      <c r="U405" s="2">
        <v>43040</v>
      </c>
      <c r="V405">
        <v>3.1676933607118398</v>
      </c>
    </row>
    <row r="406" spans="2:22" x14ac:dyDescent="0.25">
      <c r="B406" s="1" t="s">
        <v>110</v>
      </c>
      <c r="C406" s="2">
        <v>43668</v>
      </c>
      <c r="D406">
        <v>0.5</v>
      </c>
      <c r="E406">
        <v>0.5</v>
      </c>
      <c r="F406" s="3">
        <v>30</v>
      </c>
      <c r="T406">
        <v>1</v>
      </c>
      <c r="U406" s="2">
        <v>43999</v>
      </c>
      <c r="V406">
        <v>2.0369609856262798</v>
      </c>
    </row>
    <row r="407" spans="2:22" x14ac:dyDescent="0.25">
      <c r="B407" s="1" t="s">
        <v>110</v>
      </c>
      <c r="C407" s="2">
        <v>43999</v>
      </c>
      <c r="D407">
        <v>0</v>
      </c>
      <c r="E407">
        <v>0</v>
      </c>
      <c r="F407" s="3">
        <v>30</v>
      </c>
      <c r="T407">
        <v>1</v>
      </c>
      <c r="U407" s="2">
        <v>43999</v>
      </c>
      <c r="V407">
        <v>2.0369609856262798</v>
      </c>
    </row>
    <row r="408" spans="2:22" x14ac:dyDescent="0.25">
      <c r="B408" s="1" t="s">
        <v>110</v>
      </c>
      <c r="C408" s="2">
        <v>44347</v>
      </c>
      <c r="D408">
        <v>0</v>
      </c>
      <c r="E408">
        <v>0</v>
      </c>
      <c r="F408" s="3">
        <v>27</v>
      </c>
      <c r="T408">
        <v>1</v>
      </c>
      <c r="U408" s="2">
        <v>43999</v>
      </c>
      <c r="V408">
        <v>2.0369609856262798</v>
      </c>
    </row>
    <row r="409" spans="2:22" x14ac:dyDescent="0.25">
      <c r="B409" s="1" t="s">
        <v>110</v>
      </c>
      <c r="C409" s="2">
        <v>44711</v>
      </c>
      <c r="D409">
        <v>0.5</v>
      </c>
      <c r="E409">
        <v>0.5</v>
      </c>
      <c r="F409" s="3">
        <v>30</v>
      </c>
      <c r="T409">
        <v>1</v>
      </c>
      <c r="U409" s="2">
        <v>43999</v>
      </c>
      <c r="V409">
        <v>2.0369609856262798</v>
      </c>
    </row>
    <row r="410" spans="2:22" x14ac:dyDescent="0.25">
      <c r="B410" s="1" t="s">
        <v>110</v>
      </c>
      <c r="C410" s="2">
        <v>45110</v>
      </c>
      <c r="D410">
        <v>4.5</v>
      </c>
      <c r="E410">
        <v>1</v>
      </c>
      <c r="F410" s="3">
        <v>26</v>
      </c>
      <c r="T410">
        <v>1</v>
      </c>
      <c r="U410" s="2">
        <v>43999</v>
      </c>
      <c r="V410">
        <v>2.0369609856262798</v>
      </c>
    </row>
    <row r="411" spans="2:22" x14ac:dyDescent="0.25">
      <c r="B411" s="1" t="s">
        <v>111</v>
      </c>
      <c r="C411" s="2">
        <v>43283</v>
      </c>
      <c r="D411">
        <v>0</v>
      </c>
      <c r="E411">
        <v>0</v>
      </c>
      <c r="F411" s="3">
        <v>30</v>
      </c>
      <c r="T411">
        <v>1</v>
      </c>
      <c r="U411" s="2">
        <v>44004</v>
      </c>
      <c r="V411">
        <v>3.0034223134839202</v>
      </c>
    </row>
    <row r="412" spans="2:22" x14ac:dyDescent="0.25">
      <c r="B412" s="1" t="s">
        <v>111</v>
      </c>
      <c r="C412" s="2">
        <v>43612</v>
      </c>
      <c r="D412">
        <v>0</v>
      </c>
      <c r="E412">
        <v>0</v>
      </c>
      <c r="F412" s="3">
        <v>28</v>
      </c>
      <c r="T412">
        <v>1</v>
      </c>
      <c r="U412" s="2">
        <v>44004</v>
      </c>
      <c r="V412">
        <v>3.0034223134839202</v>
      </c>
    </row>
    <row r="413" spans="2:22" x14ac:dyDescent="0.25">
      <c r="B413" s="1" t="s">
        <v>111</v>
      </c>
      <c r="C413" s="2">
        <v>44004</v>
      </c>
      <c r="D413">
        <v>1</v>
      </c>
      <c r="E413">
        <v>0.5</v>
      </c>
      <c r="F413" s="3">
        <v>27</v>
      </c>
      <c r="T413">
        <v>1</v>
      </c>
      <c r="U413" s="2">
        <v>44004</v>
      </c>
      <c r="V413">
        <v>3.0034223134839202</v>
      </c>
    </row>
    <row r="414" spans="2:22" x14ac:dyDescent="0.25">
      <c r="B414" s="1" t="s">
        <v>111</v>
      </c>
      <c r="C414" s="2">
        <v>44375</v>
      </c>
      <c r="D414">
        <v>0.5</v>
      </c>
      <c r="E414">
        <v>0</v>
      </c>
      <c r="F414" s="3">
        <v>28</v>
      </c>
      <c r="T414">
        <v>1</v>
      </c>
      <c r="U414" s="2">
        <v>44004</v>
      </c>
      <c r="V414">
        <v>3.0034223134839202</v>
      </c>
    </row>
    <row r="415" spans="2:22" x14ac:dyDescent="0.25">
      <c r="B415" s="1" t="s">
        <v>111</v>
      </c>
      <c r="C415" s="2">
        <v>44725</v>
      </c>
      <c r="D415">
        <v>2.5</v>
      </c>
      <c r="E415">
        <v>0.5</v>
      </c>
      <c r="F415" s="3">
        <v>26</v>
      </c>
      <c r="T415">
        <v>1</v>
      </c>
      <c r="U415" s="2">
        <v>44004</v>
      </c>
      <c r="V415">
        <v>3.0034223134839202</v>
      </c>
    </row>
    <row r="416" spans="2:22" x14ac:dyDescent="0.25">
      <c r="B416" s="1" t="s">
        <v>112</v>
      </c>
      <c r="C416" s="2">
        <v>42411</v>
      </c>
      <c r="D416">
        <v>0</v>
      </c>
      <c r="E416">
        <v>0</v>
      </c>
      <c r="F416" s="3">
        <v>30</v>
      </c>
      <c r="T416">
        <v>1</v>
      </c>
      <c r="U416" s="2">
        <v>43528</v>
      </c>
      <c r="V416">
        <v>4.0766598220396997</v>
      </c>
    </row>
    <row r="417" spans="2:22" x14ac:dyDescent="0.25">
      <c r="B417" s="1" t="s">
        <v>112</v>
      </c>
      <c r="C417" s="2">
        <v>42807</v>
      </c>
      <c r="D417">
        <v>0</v>
      </c>
      <c r="E417">
        <v>0</v>
      </c>
      <c r="F417" s="3">
        <v>29</v>
      </c>
      <c r="T417">
        <v>1</v>
      </c>
      <c r="U417" s="2">
        <v>43528</v>
      </c>
      <c r="V417">
        <v>4.0766598220396997</v>
      </c>
    </row>
    <row r="418" spans="2:22" x14ac:dyDescent="0.25">
      <c r="B418" s="1" t="s">
        <v>112</v>
      </c>
      <c r="C418" s="2">
        <v>43129</v>
      </c>
      <c r="D418">
        <v>0</v>
      </c>
      <c r="E418">
        <v>0</v>
      </c>
      <c r="F418" s="3">
        <v>30</v>
      </c>
      <c r="T418">
        <v>1</v>
      </c>
      <c r="U418" s="2">
        <v>43528</v>
      </c>
      <c r="V418">
        <v>4.0766598220396997</v>
      </c>
    </row>
    <row r="419" spans="2:22" x14ac:dyDescent="0.25">
      <c r="B419" s="1" t="s">
        <v>112</v>
      </c>
      <c r="C419" s="2">
        <v>43528</v>
      </c>
      <c r="D419">
        <v>0</v>
      </c>
      <c r="E419">
        <v>0</v>
      </c>
      <c r="F419" s="3">
        <v>30</v>
      </c>
      <c r="T419">
        <v>1</v>
      </c>
      <c r="U419" s="2">
        <v>43528</v>
      </c>
      <c r="V419">
        <v>4.0766598220396997</v>
      </c>
    </row>
    <row r="420" spans="2:22" x14ac:dyDescent="0.25">
      <c r="B420" s="1" t="s">
        <v>112</v>
      </c>
      <c r="C420" s="2">
        <v>43956</v>
      </c>
      <c r="D420">
        <v>0</v>
      </c>
      <c r="E420">
        <v>0</v>
      </c>
      <c r="F420" s="3"/>
      <c r="T420">
        <v>1</v>
      </c>
      <c r="U420" s="2">
        <v>43528</v>
      </c>
      <c r="V420">
        <v>4.0766598220396997</v>
      </c>
    </row>
    <row r="421" spans="2:22" x14ac:dyDescent="0.25">
      <c r="B421" s="1" t="s">
        <v>112</v>
      </c>
      <c r="C421" s="2">
        <v>44243</v>
      </c>
      <c r="D421">
        <v>0</v>
      </c>
      <c r="E421">
        <v>0</v>
      </c>
      <c r="F421" s="3"/>
      <c r="T421">
        <v>1</v>
      </c>
      <c r="U421" s="2">
        <v>43528</v>
      </c>
      <c r="V421">
        <v>4.0766598220396997</v>
      </c>
    </row>
    <row r="422" spans="2:22" x14ac:dyDescent="0.25">
      <c r="B422" s="1" t="s">
        <v>113</v>
      </c>
      <c r="C422" s="2">
        <v>42912</v>
      </c>
      <c r="D422">
        <v>1.5</v>
      </c>
      <c r="E422">
        <v>0.5</v>
      </c>
      <c r="F422" s="3">
        <v>29</v>
      </c>
      <c r="G422">
        <v>2295.7884658662401</v>
      </c>
      <c r="H422">
        <v>0.535652058739713</v>
      </c>
      <c r="I422">
        <v>5918.5940806234703</v>
      </c>
      <c r="J422">
        <v>1.4839936388300901</v>
      </c>
      <c r="K422">
        <v>345.455843498158</v>
      </c>
      <c r="L422">
        <v>0.80335441968139698</v>
      </c>
      <c r="M422">
        <v>495.21344167217501</v>
      </c>
      <c r="N422">
        <v>1.2091220987175899</v>
      </c>
      <c r="O422">
        <v>62.209000000000003</v>
      </c>
      <c r="P422">
        <v>1.4991000000000001</v>
      </c>
      <c r="Q422">
        <v>5.8367889196713978E-2</v>
      </c>
      <c r="R422">
        <v>5.5531489575167257</v>
      </c>
      <c r="S422">
        <v>0</v>
      </c>
      <c r="T422">
        <v>1</v>
      </c>
      <c r="U422" s="2">
        <v>42912</v>
      </c>
      <c r="V422">
        <v>1.1060917180013701</v>
      </c>
    </row>
    <row r="423" spans="2:22" x14ac:dyDescent="0.25">
      <c r="B423" s="1" t="s">
        <v>113</v>
      </c>
      <c r="C423" s="2">
        <v>43248</v>
      </c>
      <c r="D423">
        <v>6</v>
      </c>
      <c r="E423">
        <v>1</v>
      </c>
      <c r="F423" s="3">
        <v>27</v>
      </c>
      <c r="T423">
        <v>1</v>
      </c>
      <c r="U423" s="2">
        <v>42912</v>
      </c>
      <c r="V423">
        <v>1.1060917180013701</v>
      </c>
    </row>
    <row r="424" spans="2:22" x14ac:dyDescent="0.25">
      <c r="B424" s="1" t="s">
        <v>114</v>
      </c>
      <c r="C424" s="2">
        <v>43647</v>
      </c>
      <c r="D424">
        <v>0.5</v>
      </c>
      <c r="E424">
        <v>0</v>
      </c>
      <c r="F424" s="3">
        <v>29</v>
      </c>
      <c r="T424">
        <v>1</v>
      </c>
      <c r="U424" s="2">
        <v>44014</v>
      </c>
      <c r="V424">
        <v>2.00136892539357</v>
      </c>
    </row>
    <row r="425" spans="2:22" x14ac:dyDescent="0.25">
      <c r="B425" s="1" t="s">
        <v>114</v>
      </c>
      <c r="C425" s="2">
        <v>44014</v>
      </c>
      <c r="D425">
        <v>0.5</v>
      </c>
      <c r="E425">
        <v>0</v>
      </c>
      <c r="F425" s="3">
        <v>30</v>
      </c>
      <c r="T425">
        <v>1</v>
      </c>
      <c r="U425" s="2">
        <v>44014</v>
      </c>
      <c r="V425">
        <v>2.00136892539357</v>
      </c>
    </row>
    <row r="426" spans="2:22" x14ac:dyDescent="0.25">
      <c r="B426" s="1" t="s">
        <v>114</v>
      </c>
      <c r="C426" s="2">
        <v>44375</v>
      </c>
      <c r="D426">
        <v>0.5</v>
      </c>
      <c r="E426">
        <v>0.5</v>
      </c>
      <c r="F426" s="3">
        <v>29</v>
      </c>
      <c r="T426">
        <v>1</v>
      </c>
      <c r="U426" s="2">
        <v>44014</v>
      </c>
      <c r="V426">
        <v>2.00136892539357</v>
      </c>
    </row>
    <row r="427" spans="2:22" x14ac:dyDescent="0.25">
      <c r="B427" s="1" t="s">
        <v>114</v>
      </c>
      <c r="C427" s="2">
        <v>44739</v>
      </c>
      <c r="D427">
        <v>0.5</v>
      </c>
      <c r="E427">
        <v>0.5</v>
      </c>
      <c r="F427" s="3">
        <v>29</v>
      </c>
      <c r="T427">
        <v>1</v>
      </c>
      <c r="U427" s="2">
        <v>44014</v>
      </c>
      <c r="V427">
        <v>2.00136892539357</v>
      </c>
    </row>
    <row r="428" spans="2:22" x14ac:dyDescent="0.25">
      <c r="B428" s="1" t="s">
        <v>115</v>
      </c>
      <c r="C428" s="2">
        <v>42746</v>
      </c>
      <c r="D428">
        <v>0</v>
      </c>
      <c r="E428">
        <v>0</v>
      </c>
      <c r="F428" s="3">
        <v>28</v>
      </c>
      <c r="T428">
        <v>1</v>
      </c>
      <c r="U428" s="2">
        <v>43843</v>
      </c>
      <c r="V428">
        <v>4.0164271047227897</v>
      </c>
    </row>
    <row r="429" spans="2:22" x14ac:dyDescent="0.25">
      <c r="B429" s="1" t="s">
        <v>115</v>
      </c>
      <c r="C429" s="2">
        <v>43116</v>
      </c>
      <c r="D429">
        <v>0</v>
      </c>
      <c r="E429">
        <v>0</v>
      </c>
      <c r="F429" s="3">
        <v>29</v>
      </c>
      <c r="T429">
        <v>1</v>
      </c>
      <c r="U429" s="2">
        <v>43843</v>
      </c>
      <c r="V429">
        <v>4.0164271047227897</v>
      </c>
    </row>
    <row r="430" spans="2:22" x14ac:dyDescent="0.25">
      <c r="B430" s="1" t="s">
        <v>115</v>
      </c>
      <c r="C430" s="2">
        <v>43510</v>
      </c>
      <c r="D430">
        <v>0</v>
      </c>
      <c r="E430">
        <v>0</v>
      </c>
      <c r="F430" s="3">
        <v>30</v>
      </c>
      <c r="T430">
        <v>1</v>
      </c>
      <c r="U430" s="2">
        <v>43843</v>
      </c>
      <c r="V430">
        <v>4.0164271047227897</v>
      </c>
    </row>
    <row r="431" spans="2:22" x14ac:dyDescent="0.25">
      <c r="B431" s="1" t="s">
        <v>115</v>
      </c>
      <c r="C431" s="2">
        <v>43843</v>
      </c>
      <c r="D431">
        <v>0.5</v>
      </c>
      <c r="E431">
        <v>0.5</v>
      </c>
      <c r="F431" s="3">
        <v>28</v>
      </c>
      <c r="T431">
        <v>1</v>
      </c>
      <c r="U431" s="2">
        <v>43843</v>
      </c>
      <c r="V431">
        <v>4.0164271047227897</v>
      </c>
    </row>
    <row r="432" spans="2:22" x14ac:dyDescent="0.25">
      <c r="B432" s="1" t="s">
        <v>115</v>
      </c>
      <c r="C432" s="2">
        <v>44228</v>
      </c>
      <c r="D432">
        <v>1</v>
      </c>
      <c r="E432">
        <v>0.5</v>
      </c>
      <c r="F432" s="3"/>
      <c r="T432">
        <v>1</v>
      </c>
      <c r="U432" s="2">
        <v>43843</v>
      </c>
      <c r="V432">
        <v>4.0164271047227897</v>
      </c>
    </row>
    <row r="433" spans="2:22" x14ac:dyDescent="0.25">
      <c r="B433" s="1" t="s">
        <v>115</v>
      </c>
      <c r="C433" s="2">
        <v>44624</v>
      </c>
      <c r="D433">
        <v>1.5</v>
      </c>
      <c r="E433">
        <v>0.5</v>
      </c>
      <c r="F433" s="3">
        <v>24</v>
      </c>
      <c r="T433">
        <v>1</v>
      </c>
      <c r="U433" s="2">
        <v>43843</v>
      </c>
      <c r="V433">
        <v>4.0164271047227897</v>
      </c>
    </row>
    <row r="434" spans="2:22" x14ac:dyDescent="0.25">
      <c r="B434" s="1" t="s">
        <v>115</v>
      </c>
      <c r="C434" s="2">
        <v>45002</v>
      </c>
      <c r="D434">
        <v>1.5</v>
      </c>
      <c r="E434">
        <v>0.5</v>
      </c>
      <c r="F434" s="3">
        <v>21</v>
      </c>
      <c r="T434">
        <v>1</v>
      </c>
      <c r="U434" s="2">
        <v>43843</v>
      </c>
      <c r="V434">
        <v>4.0164271047227897</v>
      </c>
    </row>
    <row r="435" spans="2:22" x14ac:dyDescent="0.25">
      <c r="B435" s="1" t="s">
        <v>115</v>
      </c>
      <c r="C435" s="2">
        <v>45303</v>
      </c>
      <c r="D435">
        <v>2.5</v>
      </c>
      <c r="E435">
        <v>0.5</v>
      </c>
      <c r="F435" s="3">
        <v>22</v>
      </c>
      <c r="T435">
        <v>1</v>
      </c>
      <c r="U435" s="2">
        <v>43843</v>
      </c>
      <c r="V435">
        <v>4.0164271047227897</v>
      </c>
    </row>
    <row r="436" spans="2:22" x14ac:dyDescent="0.25">
      <c r="B436" s="1" t="s">
        <v>116</v>
      </c>
      <c r="C436" s="2">
        <v>42152</v>
      </c>
      <c r="D436" t="s">
        <v>31</v>
      </c>
      <c r="E436" t="s">
        <v>31</v>
      </c>
      <c r="F436" s="3">
        <v>28</v>
      </c>
      <c r="T436">
        <v>1</v>
      </c>
      <c r="U436" s="2">
        <v>45062</v>
      </c>
      <c r="V436">
        <v>9.0212183436002693</v>
      </c>
    </row>
    <row r="437" spans="2:22" x14ac:dyDescent="0.25">
      <c r="B437" s="1" t="s">
        <v>116</v>
      </c>
      <c r="C437" s="2">
        <v>42521</v>
      </c>
      <c r="D437">
        <v>0</v>
      </c>
      <c r="E437">
        <v>0</v>
      </c>
      <c r="F437" s="3">
        <v>30</v>
      </c>
      <c r="T437">
        <v>1</v>
      </c>
      <c r="U437" s="2">
        <v>45062</v>
      </c>
      <c r="V437">
        <v>9.0212183436002693</v>
      </c>
    </row>
    <row r="438" spans="2:22" x14ac:dyDescent="0.25">
      <c r="B438" s="1" t="s">
        <v>116</v>
      </c>
      <c r="C438" s="2">
        <v>42920</v>
      </c>
      <c r="D438">
        <v>0</v>
      </c>
      <c r="E438">
        <v>0</v>
      </c>
      <c r="F438" s="3">
        <v>29</v>
      </c>
      <c r="T438">
        <v>1</v>
      </c>
      <c r="U438" s="2">
        <v>45062</v>
      </c>
      <c r="V438">
        <v>9.0212183436002693</v>
      </c>
    </row>
    <row r="439" spans="2:22" x14ac:dyDescent="0.25">
      <c r="B439" s="1" t="s">
        <v>116</v>
      </c>
      <c r="C439" s="2">
        <v>43290</v>
      </c>
      <c r="D439">
        <v>0</v>
      </c>
      <c r="E439">
        <v>0</v>
      </c>
      <c r="F439" s="3">
        <v>30</v>
      </c>
      <c r="T439">
        <v>1</v>
      </c>
      <c r="U439" s="2">
        <v>45062</v>
      </c>
      <c r="V439">
        <v>9.0212183436002693</v>
      </c>
    </row>
    <row r="440" spans="2:22" x14ac:dyDescent="0.25">
      <c r="B440" s="1" t="s">
        <v>116</v>
      </c>
      <c r="C440" s="2">
        <v>43676</v>
      </c>
      <c r="D440" t="s">
        <v>31</v>
      </c>
      <c r="E440" t="s">
        <v>31</v>
      </c>
      <c r="F440" s="3">
        <v>30</v>
      </c>
      <c r="T440">
        <v>1</v>
      </c>
      <c r="U440" s="2">
        <v>45062</v>
      </c>
      <c r="V440">
        <v>9.0212183436002693</v>
      </c>
    </row>
    <row r="441" spans="2:22" x14ac:dyDescent="0.25">
      <c r="B441" s="1" t="s">
        <v>116</v>
      </c>
      <c r="C441" s="2">
        <v>44032</v>
      </c>
      <c r="D441">
        <v>0</v>
      </c>
      <c r="E441">
        <v>0</v>
      </c>
      <c r="F441" s="3">
        <v>30</v>
      </c>
      <c r="T441">
        <v>1</v>
      </c>
      <c r="U441" s="2">
        <v>45062</v>
      </c>
      <c r="V441">
        <v>9.0212183436002693</v>
      </c>
    </row>
    <row r="442" spans="2:22" x14ac:dyDescent="0.25">
      <c r="B442" s="1" t="s">
        <v>116</v>
      </c>
      <c r="C442" s="2">
        <v>44364</v>
      </c>
      <c r="D442">
        <v>0</v>
      </c>
      <c r="E442">
        <v>0</v>
      </c>
      <c r="F442" s="3">
        <v>29</v>
      </c>
      <c r="T442">
        <v>1</v>
      </c>
      <c r="U442" s="2">
        <v>45062</v>
      </c>
      <c r="V442">
        <v>9.0212183436002693</v>
      </c>
    </row>
    <row r="443" spans="2:22" x14ac:dyDescent="0.25">
      <c r="B443" s="1" t="s">
        <v>116</v>
      </c>
      <c r="C443" s="2">
        <v>44705</v>
      </c>
      <c r="D443">
        <v>0.5</v>
      </c>
      <c r="E443">
        <v>0.5</v>
      </c>
      <c r="F443" s="3">
        <v>29</v>
      </c>
      <c r="T443">
        <v>1</v>
      </c>
      <c r="U443" s="2">
        <v>45062</v>
      </c>
      <c r="V443">
        <v>9.0212183436002693</v>
      </c>
    </row>
    <row r="444" spans="2:22" x14ac:dyDescent="0.25">
      <c r="B444" s="1" t="s">
        <v>116</v>
      </c>
      <c r="C444" s="2">
        <v>45062</v>
      </c>
      <c r="D444">
        <v>0</v>
      </c>
      <c r="E444">
        <v>0</v>
      </c>
      <c r="F444" s="3">
        <v>30</v>
      </c>
      <c r="T444">
        <v>1</v>
      </c>
      <c r="U444" s="2">
        <v>45062</v>
      </c>
      <c r="V444">
        <v>9.0212183436002693</v>
      </c>
    </row>
    <row r="445" spans="2:22" x14ac:dyDescent="0.25">
      <c r="B445" s="1" t="s">
        <v>117</v>
      </c>
      <c r="C445" s="2">
        <v>42683</v>
      </c>
      <c r="D445">
        <v>0</v>
      </c>
      <c r="E445">
        <v>0</v>
      </c>
      <c r="F445" s="3">
        <v>30</v>
      </c>
      <c r="T445">
        <v>1</v>
      </c>
      <c r="U445" s="2">
        <v>45236</v>
      </c>
      <c r="V445">
        <v>8.1040383299110204</v>
      </c>
    </row>
    <row r="446" spans="2:22" x14ac:dyDescent="0.25">
      <c r="B446" s="1" t="s">
        <v>117</v>
      </c>
      <c r="C446" s="2">
        <v>43045</v>
      </c>
      <c r="D446">
        <v>0</v>
      </c>
      <c r="E446">
        <v>0</v>
      </c>
      <c r="F446" s="3">
        <v>30</v>
      </c>
      <c r="T446">
        <v>1</v>
      </c>
      <c r="U446" s="2">
        <v>45236</v>
      </c>
      <c r="V446">
        <v>8.1040383299110204</v>
      </c>
    </row>
    <row r="447" spans="2:22" x14ac:dyDescent="0.25">
      <c r="B447" s="1" t="s">
        <v>117</v>
      </c>
      <c r="C447" s="2">
        <v>43419</v>
      </c>
      <c r="D447">
        <v>0.5</v>
      </c>
      <c r="E447">
        <v>0.5</v>
      </c>
      <c r="F447" s="3">
        <v>30</v>
      </c>
      <c r="T447">
        <v>1</v>
      </c>
      <c r="U447" s="2">
        <v>45236</v>
      </c>
      <c r="V447">
        <v>8.1040383299110204</v>
      </c>
    </row>
    <row r="448" spans="2:22" x14ac:dyDescent="0.25">
      <c r="B448" s="1" t="s">
        <v>117</v>
      </c>
      <c r="C448" s="2">
        <v>43780</v>
      </c>
      <c r="D448">
        <v>0</v>
      </c>
      <c r="E448">
        <v>0</v>
      </c>
      <c r="F448" s="3">
        <v>29</v>
      </c>
      <c r="T448">
        <v>1</v>
      </c>
      <c r="U448" s="2">
        <v>45236</v>
      </c>
      <c r="V448">
        <v>8.1040383299110204</v>
      </c>
    </row>
    <row r="449" spans="2:22" x14ac:dyDescent="0.25">
      <c r="B449" s="1" t="s">
        <v>117</v>
      </c>
      <c r="C449" s="2">
        <v>44658</v>
      </c>
      <c r="D449">
        <v>0</v>
      </c>
      <c r="E449">
        <v>0</v>
      </c>
      <c r="F449" s="3">
        <v>29</v>
      </c>
      <c r="T449">
        <v>1</v>
      </c>
      <c r="U449" s="2">
        <v>45236</v>
      </c>
      <c r="V449">
        <v>8.1040383299110204</v>
      </c>
    </row>
    <row r="450" spans="2:22" x14ac:dyDescent="0.25">
      <c r="B450" s="1" t="s">
        <v>117</v>
      </c>
      <c r="C450" s="2">
        <v>45236</v>
      </c>
      <c r="D450">
        <v>0</v>
      </c>
      <c r="E450">
        <v>0</v>
      </c>
      <c r="F450" s="3">
        <v>28</v>
      </c>
      <c r="T450">
        <v>1</v>
      </c>
      <c r="U450" s="2">
        <v>45236</v>
      </c>
      <c r="V450">
        <v>8.1040383299110204</v>
      </c>
    </row>
    <row r="451" spans="2:22" x14ac:dyDescent="0.25">
      <c r="B451" s="1" t="s">
        <v>118</v>
      </c>
      <c r="C451" s="2">
        <v>42529</v>
      </c>
      <c r="D451">
        <v>0</v>
      </c>
      <c r="E451">
        <v>0</v>
      </c>
      <c r="F451" s="3">
        <v>29</v>
      </c>
      <c r="G451">
        <v>3925.4729577886101</v>
      </c>
      <c r="H451">
        <v>0.84681954953494598</v>
      </c>
      <c r="I451">
        <v>9471.8522854732491</v>
      </c>
      <c r="J451">
        <v>6.1231902086457497</v>
      </c>
      <c r="K451">
        <v>372.48781233409301</v>
      </c>
      <c r="L451">
        <v>0.63315818551793102</v>
      </c>
      <c r="M451">
        <v>710.66511300230195</v>
      </c>
      <c r="N451">
        <v>1.5699959680194799</v>
      </c>
      <c r="O451">
        <v>123.47</v>
      </c>
      <c r="P451">
        <v>0.92522000000000004</v>
      </c>
      <c r="Q451">
        <v>3.9325762386029667E-2</v>
      </c>
      <c r="R451">
        <v>3.0168284792588729</v>
      </c>
      <c r="S451">
        <v>0</v>
      </c>
      <c r="T451">
        <v>1</v>
      </c>
      <c r="U451" s="2">
        <v>43643</v>
      </c>
      <c r="V451">
        <v>4.0492813141683799</v>
      </c>
    </row>
    <row r="452" spans="2:22" x14ac:dyDescent="0.25">
      <c r="B452" s="1" t="s">
        <v>118</v>
      </c>
      <c r="C452" s="2">
        <v>42901</v>
      </c>
      <c r="D452">
        <v>0</v>
      </c>
      <c r="E452">
        <v>0</v>
      </c>
      <c r="F452" s="3">
        <v>30</v>
      </c>
      <c r="T452">
        <v>1</v>
      </c>
      <c r="U452" s="2">
        <v>43643</v>
      </c>
      <c r="V452">
        <v>4.0492813141683799</v>
      </c>
    </row>
    <row r="453" spans="2:22" x14ac:dyDescent="0.25">
      <c r="B453" s="1" t="s">
        <v>118</v>
      </c>
      <c r="C453" s="2">
        <v>43283</v>
      </c>
      <c r="D453">
        <v>0.5</v>
      </c>
      <c r="E453">
        <v>0.5</v>
      </c>
      <c r="F453" s="3">
        <v>28</v>
      </c>
      <c r="G453">
        <v>4140.2939214058397</v>
      </c>
      <c r="H453">
        <v>4.9312768718763103</v>
      </c>
      <c r="I453">
        <v>10231.439886836601</v>
      </c>
      <c r="J453">
        <v>2.0055430968744199</v>
      </c>
      <c r="K453">
        <v>391.34332139435003</v>
      </c>
      <c r="L453">
        <v>0.95240365937109095</v>
      </c>
      <c r="M453">
        <v>753.257994993284</v>
      </c>
      <c r="N453">
        <v>10.381925330706601</v>
      </c>
      <c r="O453">
        <v>109.14</v>
      </c>
      <c r="P453">
        <v>3.1482000000000001</v>
      </c>
      <c r="Q453">
        <v>3.8249095505886531E-2</v>
      </c>
      <c r="R453">
        <v>3.5857002143517498</v>
      </c>
      <c r="S453">
        <v>0</v>
      </c>
      <c r="T453">
        <v>1</v>
      </c>
      <c r="U453" s="2">
        <v>43643</v>
      </c>
      <c r="V453">
        <v>4.0492813141683799</v>
      </c>
    </row>
    <row r="454" spans="2:22" x14ac:dyDescent="0.25">
      <c r="B454" s="1" t="s">
        <v>118</v>
      </c>
      <c r="C454" s="2">
        <v>43643</v>
      </c>
      <c r="D454">
        <v>0.5</v>
      </c>
      <c r="E454">
        <v>0.5</v>
      </c>
      <c r="F454" s="3">
        <v>27</v>
      </c>
      <c r="T454">
        <v>1</v>
      </c>
      <c r="U454" s="2">
        <v>43643</v>
      </c>
      <c r="V454">
        <v>4.0492813141683799</v>
      </c>
    </row>
    <row r="455" spans="2:22" x14ac:dyDescent="0.25">
      <c r="B455" s="1" t="s">
        <v>118</v>
      </c>
      <c r="C455" s="2">
        <v>44061</v>
      </c>
      <c r="D455">
        <v>2</v>
      </c>
      <c r="E455">
        <v>0.5</v>
      </c>
      <c r="F455" s="3">
        <v>27</v>
      </c>
      <c r="T455">
        <v>1</v>
      </c>
      <c r="U455" s="2">
        <v>43643</v>
      </c>
      <c r="V455">
        <v>4.0492813141683799</v>
      </c>
    </row>
    <row r="456" spans="2:22" x14ac:dyDescent="0.25">
      <c r="B456" s="1" t="s">
        <v>118</v>
      </c>
      <c r="C456" s="2">
        <v>44363</v>
      </c>
      <c r="D456">
        <v>2.5</v>
      </c>
      <c r="E456">
        <v>0.5</v>
      </c>
      <c r="F456" s="3">
        <v>25</v>
      </c>
      <c r="T456">
        <v>1</v>
      </c>
      <c r="U456" s="2">
        <v>43643</v>
      </c>
      <c r="V456">
        <v>4.0492813141683799</v>
      </c>
    </row>
    <row r="457" spans="2:22" x14ac:dyDescent="0.25">
      <c r="B457" s="1" t="s">
        <v>118</v>
      </c>
      <c r="C457" s="2">
        <v>44729</v>
      </c>
      <c r="D457">
        <v>1</v>
      </c>
      <c r="E457">
        <v>0.5</v>
      </c>
      <c r="F457" s="3">
        <v>23</v>
      </c>
      <c r="T457">
        <v>1</v>
      </c>
      <c r="U457" s="2">
        <v>43643</v>
      </c>
      <c r="V457">
        <v>4.0492813141683799</v>
      </c>
    </row>
    <row r="458" spans="2:22" x14ac:dyDescent="0.25">
      <c r="B458" s="1" t="s">
        <v>118</v>
      </c>
      <c r="C458" s="2">
        <v>45086</v>
      </c>
      <c r="D458">
        <v>4.5</v>
      </c>
      <c r="E458">
        <v>1</v>
      </c>
      <c r="F458" s="3">
        <v>24</v>
      </c>
      <c r="T458">
        <v>1</v>
      </c>
      <c r="U458" s="2">
        <v>43643</v>
      </c>
      <c r="V458">
        <v>4.0492813141683799</v>
      </c>
    </row>
    <row r="459" spans="2:22" x14ac:dyDescent="0.25">
      <c r="B459" s="1" t="s">
        <v>119</v>
      </c>
      <c r="C459" s="2">
        <v>42684</v>
      </c>
      <c r="D459">
        <v>0</v>
      </c>
      <c r="E459">
        <v>0</v>
      </c>
      <c r="F459" s="3">
        <v>29</v>
      </c>
      <c r="T459">
        <v>1</v>
      </c>
      <c r="U459" s="2">
        <v>44823</v>
      </c>
      <c r="V459">
        <v>7.0088980150581799</v>
      </c>
    </row>
    <row r="460" spans="2:22" x14ac:dyDescent="0.25">
      <c r="B460" s="1" t="s">
        <v>119</v>
      </c>
      <c r="C460" s="2">
        <v>42991</v>
      </c>
      <c r="D460">
        <v>0</v>
      </c>
      <c r="E460">
        <v>0</v>
      </c>
      <c r="F460" s="3">
        <v>29</v>
      </c>
      <c r="T460">
        <v>1</v>
      </c>
      <c r="U460" s="2">
        <v>44823</v>
      </c>
      <c r="V460">
        <v>7.0088980150581799</v>
      </c>
    </row>
    <row r="461" spans="2:22" x14ac:dyDescent="0.25">
      <c r="B461" s="1" t="s">
        <v>119</v>
      </c>
      <c r="C461" s="2">
        <v>43353</v>
      </c>
      <c r="D461">
        <v>0</v>
      </c>
      <c r="E461">
        <v>0</v>
      </c>
      <c r="F461" s="3">
        <v>30</v>
      </c>
      <c r="T461">
        <v>1</v>
      </c>
      <c r="U461" s="2">
        <v>44823</v>
      </c>
      <c r="V461">
        <v>7.0088980150581799</v>
      </c>
    </row>
    <row r="462" spans="2:22" x14ac:dyDescent="0.25">
      <c r="B462" s="1" t="s">
        <v>119</v>
      </c>
      <c r="C462" s="2">
        <v>43717</v>
      </c>
      <c r="D462">
        <v>0</v>
      </c>
      <c r="E462">
        <v>0</v>
      </c>
      <c r="F462" s="3">
        <v>28</v>
      </c>
      <c r="T462">
        <v>1</v>
      </c>
      <c r="U462" s="2">
        <v>44823</v>
      </c>
      <c r="V462">
        <v>7.0088980150581799</v>
      </c>
    </row>
    <row r="463" spans="2:22" x14ac:dyDescent="0.25">
      <c r="B463" s="1" t="s">
        <v>119</v>
      </c>
      <c r="C463" s="2">
        <v>44060</v>
      </c>
      <c r="D463">
        <v>0</v>
      </c>
      <c r="E463">
        <v>0</v>
      </c>
      <c r="F463" s="3">
        <v>28</v>
      </c>
      <c r="T463">
        <v>1</v>
      </c>
      <c r="U463" s="2">
        <v>44823</v>
      </c>
      <c r="V463">
        <v>7.0088980150581799</v>
      </c>
    </row>
    <row r="464" spans="2:22" x14ac:dyDescent="0.25">
      <c r="B464" s="1" t="s">
        <v>119</v>
      </c>
      <c r="C464" s="2">
        <v>44823</v>
      </c>
      <c r="D464">
        <v>1</v>
      </c>
      <c r="E464">
        <v>0.5</v>
      </c>
      <c r="F464" s="3">
        <v>27</v>
      </c>
      <c r="T464">
        <v>1</v>
      </c>
      <c r="U464" s="2">
        <v>44823</v>
      </c>
      <c r="V464">
        <v>7.0088980150581799</v>
      </c>
    </row>
    <row r="465" spans="2:22" x14ac:dyDescent="0.25">
      <c r="B465" s="1" t="s">
        <v>119</v>
      </c>
      <c r="C465" s="2">
        <v>45201</v>
      </c>
      <c r="D465">
        <v>0.5</v>
      </c>
      <c r="E465">
        <v>0.5</v>
      </c>
      <c r="F465" s="3">
        <v>28</v>
      </c>
      <c r="T465">
        <v>1</v>
      </c>
      <c r="U465" s="2">
        <v>44823</v>
      </c>
      <c r="V465">
        <v>7.0088980150581799</v>
      </c>
    </row>
    <row r="466" spans="2:22" x14ac:dyDescent="0.25">
      <c r="B466" s="1" t="s">
        <v>120</v>
      </c>
      <c r="C466" s="2">
        <v>42873</v>
      </c>
      <c r="D466">
        <v>1</v>
      </c>
      <c r="E466">
        <v>0.5</v>
      </c>
      <c r="F466" s="3">
        <v>30</v>
      </c>
      <c r="T466">
        <v>1</v>
      </c>
      <c r="U466" s="2">
        <v>42873</v>
      </c>
      <c r="V466">
        <v>1.07597535934292</v>
      </c>
    </row>
    <row r="467" spans="2:22" x14ac:dyDescent="0.25">
      <c r="B467" s="1" t="s">
        <v>120</v>
      </c>
      <c r="C467" s="2">
        <v>43572</v>
      </c>
      <c r="D467">
        <v>2.5</v>
      </c>
      <c r="E467">
        <v>0.5</v>
      </c>
      <c r="F467" s="3">
        <v>28</v>
      </c>
      <c r="T467">
        <v>1</v>
      </c>
      <c r="U467" s="2">
        <v>42873</v>
      </c>
      <c r="V467">
        <v>1.07597535934292</v>
      </c>
    </row>
    <row r="468" spans="2:22" x14ac:dyDescent="0.25">
      <c r="B468" s="1" t="s">
        <v>120</v>
      </c>
      <c r="C468" s="2">
        <v>44032</v>
      </c>
      <c r="D468">
        <v>2.5</v>
      </c>
      <c r="E468">
        <v>0.5</v>
      </c>
      <c r="F468" s="3">
        <v>28</v>
      </c>
      <c r="T468">
        <v>1</v>
      </c>
      <c r="U468" s="2">
        <v>42873</v>
      </c>
      <c r="V468">
        <v>1.07597535934292</v>
      </c>
    </row>
    <row r="469" spans="2:22" x14ac:dyDescent="0.25">
      <c r="B469" s="1" t="s">
        <v>121</v>
      </c>
      <c r="C469" s="2">
        <v>43454</v>
      </c>
      <c r="D469">
        <v>1</v>
      </c>
      <c r="E469">
        <v>0.5</v>
      </c>
      <c r="F469" s="3">
        <v>28</v>
      </c>
      <c r="T469">
        <v>1</v>
      </c>
      <c r="U469" s="2">
        <v>44550</v>
      </c>
      <c r="V469">
        <v>4.0027378507871303</v>
      </c>
    </row>
    <row r="470" spans="2:22" x14ac:dyDescent="0.25">
      <c r="B470" s="1" t="s">
        <v>121</v>
      </c>
      <c r="C470" s="2">
        <v>43808</v>
      </c>
      <c r="D470">
        <v>2</v>
      </c>
      <c r="E470">
        <v>0.5</v>
      </c>
      <c r="F470" s="3">
        <v>29</v>
      </c>
      <c r="G470">
        <v>2348.43328681608</v>
      </c>
      <c r="H470">
        <v>1.45421054407916</v>
      </c>
      <c r="I470">
        <v>7147.3679478347303</v>
      </c>
      <c r="J470">
        <v>8.3468932518895603E-2</v>
      </c>
      <c r="K470">
        <v>436.76437836368001</v>
      </c>
      <c r="L470">
        <v>2.7610097370459701</v>
      </c>
      <c r="M470">
        <v>413.04919826231702</v>
      </c>
      <c r="N470">
        <v>4.9168396325187</v>
      </c>
      <c r="O470">
        <v>69.405000000000001</v>
      </c>
      <c r="P470">
        <v>1.8629</v>
      </c>
      <c r="Q470">
        <v>6.1108422226394017E-2</v>
      </c>
      <c r="R470">
        <v>6.2929814619073552</v>
      </c>
      <c r="S470">
        <v>0</v>
      </c>
      <c r="T470">
        <v>1</v>
      </c>
      <c r="U470" s="2">
        <v>44550</v>
      </c>
      <c r="V470">
        <v>4.0027378507871303</v>
      </c>
    </row>
    <row r="471" spans="2:22" x14ac:dyDescent="0.25">
      <c r="B471" s="1" t="s">
        <v>121</v>
      </c>
      <c r="C471" s="2">
        <v>44550</v>
      </c>
      <c r="D471">
        <v>3.5</v>
      </c>
      <c r="E471">
        <v>0.5</v>
      </c>
      <c r="F471" s="3">
        <v>30</v>
      </c>
      <c r="I471">
        <v>9654</v>
      </c>
      <c r="K471">
        <v>562</v>
      </c>
      <c r="M471">
        <v>476</v>
      </c>
      <c r="O471">
        <v>77.5</v>
      </c>
      <c r="Q471">
        <v>5.821421172570955E-2</v>
      </c>
      <c r="R471">
        <v>7.2516129032258068</v>
      </c>
      <c r="S471">
        <v>1</v>
      </c>
      <c r="T471">
        <v>1</v>
      </c>
      <c r="U471" s="2">
        <v>44550</v>
      </c>
      <c r="V471">
        <v>4.0027378507871303</v>
      </c>
    </row>
    <row r="472" spans="2:22" x14ac:dyDescent="0.25">
      <c r="B472" s="1" t="s">
        <v>121</v>
      </c>
      <c r="C472" s="2">
        <v>44916</v>
      </c>
      <c r="D472">
        <v>3</v>
      </c>
      <c r="E472">
        <v>0.5</v>
      </c>
      <c r="F472" s="3">
        <v>27</v>
      </c>
      <c r="T472">
        <v>1</v>
      </c>
      <c r="U472" s="2">
        <v>44550</v>
      </c>
      <c r="V472">
        <v>4.0027378507871303</v>
      </c>
    </row>
    <row r="473" spans="2:22" x14ac:dyDescent="0.25">
      <c r="B473" s="1" t="s">
        <v>121</v>
      </c>
      <c r="C473" s="2">
        <v>45294</v>
      </c>
      <c r="D473">
        <v>5</v>
      </c>
      <c r="E473">
        <v>1</v>
      </c>
      <c r="F473" s="3">
        <v>23</v>
      </c>
      <c r="T473">
        <v>1</v>
      </c>
      <c r="U473" s="2">
        <v>44550</v>
      </c>
      <c r="V473">
        <v>4.0027378507871303</v>
      </c>
    </row>
    <row r="474" spans="2:22" x14ac:dyDescent="0.25">
      <c r="B474" s="1" t="s">
        <v>122</v>
      </c>
      <c r="C474" s="2">
        <v>42543</v>
      </c>
      <c r="D474">
        <v>1</v>
      </c>
      <c r="E474">
        <v>0.5</v>
      </c>
      <c r="F474" s="3">
        <v>30</v>
      </c>
      <c r="T474">
        <v>1</v>
      </c>
      <c r="U474" s="2">
        <v>42897</v>
      </c>
      <c r="V474">
        <v>1.9603011635865799</v>
      </c>
    </row>
    <row r="475" spans="2:22" x14ac:dyDescent="0.25">
      <c r="B475" s="1" t="s">
        <v>122</v>
      </c>
      <c r="C475" s="2">
        <v>42897</v>
      </c>
      <c r="D475">
        <v>1</v>
      </c>
      <c r="E475">
        <v>0.5</v>
      </c>
      <c r="F475" s="3">
        <v>29</v>
      </c>
      <c r="T475">
        <v>1</v>
      </c>
      <c r="U475" s="2">
        <v>42897</v>
      </c>
      <c r="V475">
        <v>1.9603011635865799</v>
      </c>
    </row>
    <row r="476" spans="2:22" x14ac:dyDescent="0.25">
      <c r="B476" s="1" t="s">
        <v>122</v>
      </c>
      <c r="C476" s="2">
        <v>43257</v>
      </c>
      <c r="D476">
        <v>0.5</v>
      </c>
      <c r="E476">
        <v>0.5</v>
      </c>
      <c r="F476" s="3">
        <v>29</v>
      </c>
      <c r="T476">
        <v>1</v>
      </c>
      <c r="U476" s="2">
        <v>42897</v>
      </c>
      <c r="V476">
        <v>1.9603011635865799</v>
      </c>
    </row>
    <row r="477" spans="2:22" x14ac:dyDescent="0.25">
      <c r="B477" s="1" t="s">
        <v>122</v>
      </c>
      <c r="C477" s="2">
        <v>43640</v>
      </c>
      <c r="D477">
        <v>0.5</v>
      </c>
      <c r="E477">
        <v>0.5</v>
      </c>
      <c r="F477" s="3">
        <v>30</v>
      </c>
      <c r="T477">
        <v>1</v>
      </c>
      <c r="U477" s="2">
        <v>42897</v>
      </c>
      <c r="V477">
        <v>1.9603011635865799</v>
      </c>
    </row>
    <row r="478" spans="2:22" x14ac:dyDescent="0.25">
      <c r="B478" s="1" t="s">
        <v>122</v>
      </c>
      <c r="C478" s="2">
        <v>44036</v>
      </c>
      <c r="D478">
        <v>0.5</v>
      </c>
      <c r="E478">
        <v>0.5</v>
      </c>
      <c r="F478" s="3">
        <v>29</v>
      </c>
      <c r="T478">
        <v>1</v>
      </c>
      <c r="U478" s="2">
        <v>42897</v>
      </c>
      <c r="V478">
        <v>1.9603011635865799</v>
      </c>
    </row>
    <row r="479" spans="2:22" x14ac:dyDescent="0.25">
      <c r="B479" s="1" t="s">
        <v>122</v>
      </c>
      <c r="C479" s="2">
        <v>44404</v>
      </c>
      <c r="D479">
        <v>2</v>
      </c>
      <c r="E479">
        <v>0.5</v>
      </c>
      <c r="F479" s="3">
        <v>28</v>
      </c>
      <c r="T479">
        <v>1</v>
      </c>
      <c r="U479" s="2">
        <v>42897</v>
      </c>
      <c r="V479">
        <v>1.9603011635865799</v>
      </c>
    </row>
    <row r="480" spans="2:22" x14ac:dyDescent="0.25">
      <c r="B480" s="1" t="s">
        <v>122</v>
      </c>
      <c r="C480" s="2">
        <v>44763</v>
      </c>
      <c r="D480">
        <v>1.5</v>
      </c>
      <c r="E480">
        <v>0.5</v>
      </c>
      <c r="F480" s="3">
        <v>28</v>
      </c>
      <c r="T480">
        <v>1</v>
      </c>
      <c r="U480" s="2">
        <v>42897</v>
      </c>
      <c r="V480">
        <v>1.9603011635865799</v>
      </c>
    </row>
    <row r="481" spans="2:22" x14ac:dyDescent="0.25">
      <c r="B481" s="1" t="s">
        <v>122</v>
      </c>
      <c r="C481" s="2">
        <v>45114</v>
      </c>
      <c r="D481">
        <v>1.5</v>
      </c>
      <c r="E481">
        <v>0.5</v>
      </c>
      <c r="F481" s="3">
        <v>28</v>
      </c>
      <c r="T481">
        <v>1</v>
      </c>
      <c r="U481" s="2">
        <v>42897</v>
      </c>
      <c r="V481">
        <v>1.9603011635865799</v>
      </c>
    </row>
    <row r="482" spans="2:22" x14ac:dyDescent="0.25">
      <c r="B482" s="1" t="s">
        <v>123</v>
      </c>
      <c r="C482" s="2">
        <v>42873</v>
      </c>
      <c r="D482">
        <v>0.5</v>
      </c>
      <c r="E482">
        <v>0.5</v>
      </c>
      <c r="F482" s="3">
        <v>30</v>
      </c>
      <c r="T482">
        <v>1</v>
      </c>
      <c r="U482" s="2">
        <v>42873</v>
      </c>
      <c r="V482">
        <v>1.0431211498973301</v>
      </c>
    </row>
    <row r="483" spans="2:22" x14ac:dyDescent="0.25">
      <c r="B483" s="1" t="s">
        <v>123</v>
      </c>
      <c r="C483" s="2">
        <v>43227</v>
      </c>
      <c r="D483">
        <v>1</v>
      </c>
      <c r="E483">
        <v>0.5</v>
      </c>
      <c r="F483" s="3">
        <v>30</v>
      </c>
      <c r="T483">
        <v>1</v>
      </c>
      <c r="U483" s="2">
        <v>42873</v>
      </c>
      <c r="V483">
        <v>1.0431211498973301</v>
      </c>
    </row>
    <row r="484" spans="2:22" x14ac:dyDescent="0.25">
      <c r="B484" s="1" t="s">
        <v>123</v>
      </c>
      <c r="C484" s="2">
        <v>43591</v>
      </c>
      <c r="D484">
        <v>1</v>
      </c>
      <c r="E484">
        <v>0.5</v>
      </c>
      <c r="F484" s="3">
        <v>30</v>
      </c>
      <c r="T484">
        <v>1</v>
      </c>
      <c r="U484" s="2">
        <v>42873</v>
      </c>
      <c r="V484">
        <v>1.0431211498973301</v>
      </c>
    </row>
    <row r="485" spans="2:22" x14ac:dyDescent="0.25">
      <c r="B485" s="1" t="s">
        <v>124</v>
      </c>
      <c r="C485" s="2">
        <v>43703</v>
      </c>
      <c r="D485">
        <v>0</v>
      </c>
      <c r="E485">
        <v>0</v>
      </c>
      <c r="F485" s="3">
        <v>30</v>
      </c>
      <c r="T485">
        <v>1</v>
      </c>
      <c r="U485" s="2">
        <v>45042</v>
      </c>
      <c r="V485">
        <v>4.9253935660506496</v>
      </c>
    </row>
    <row r="486" spans="2:22" x14ac:dyDescent="0.25">
      <c r="B486" s="1" t="s">
        <v>124</v>
      </c>
      <c r="C486" s="2">
        <v>44123</v>
      </c>
      <c r="D486">
        <v>0.5</v>
      </c>
      <c r="E486">
        <v>0.5</v>
      </c>
      <c r="F486" s="3">
        <v>30</v>
      </c>
      <c r="G486">
        <v>3995.85086703966</v>
      </c>
      <c r="H486">
        <v>5.3953568514496997</v>
      </c>
      <c r="I486">
        <v>11831.0148447663</v>
      </c>
      <c r="J486">
        <v>0.58025311772656896</v>
      </c>
      <c r="K486">
        <v>1284.7066192826901</v>
      </c>
      <c r="L486">
        <v>1.58652610893507</v>
      </c>
      <c r="M486">
        <v>504.55077099079301</v>
      </c>
      <c r="N486">
        <v>1.12722126123567</v>
      </c>
      <c r="O486">
        <v>51.582999999999998</v>
      </c>
      <c r="P486">
        <v>1.2101999999999999</v>
      </c>
      <c r="Q486">
        <v>0.108588032061426</v>
      </c>
      <c r="R486">
        <v>24.905620442445969</v>
      </c>
      <c r="S486">
        <v>0</v>
      </c>
      <c r="T486">
        <v>1</v>
      </c>
      <c r="U486" s="2">
        <v>45042</v>
      </c>
      <c r="V486">
        <v>4.9253935660506496</v>
      </c>
    </row>
    <row r="487" spans="2:22" x14ac:dyDescent="0.25">
      <c r="B487" s="1" t="s">
        <v>124</v>
      </c>
      <c r="C487" s="2">
        <v>44525</v>
      </c>
      <c r="D487">
        <v>0</v>
      </c>
      <c r="E487">
        <v>0</v>
      </c>
      <c r="F487" s="3"/>
      <c r="T487">
        <v>1</v>
      </c>
      <c r="U487" s="2">
        <v>45042</v>
      </c>
      <c r="V487">
        <v>4.9253935660506496</v>
      </c>
    </row>
    <row r="488" spans="2:22" x14ac:dyDescent="0.25">
      <c r="B488" s="1" t="s">
        <v>124</v>
      </c>
      <c r="C488" s="2">
        <v>44671</v>
      </c>
      <c r="D488">
        <v>0</v>
      </c>
      <c r="E488">
        <v>0</v>
      </c>
      <c r="F488" s="3">
        <v>30</v>
      </c>
      <c r="T488">
        <v>1</v>
      </c>
      <c r="U488" s="2">
        <v>45042</v>
      </c>
      <c r="V488">
        <v>4.9253935660506496</v>
      </c>
    </row>
    <row r="489" spans="2:22" x14ac:dyDescent="0.25">
      <c r="B489" s="1" t="s">
        <v>124</v>
      </c>
      <c r="C489" s="2">
        <v>45042</v>
      </c>
      <c r="D489">
        <v>0.5</v>
      </c>
      <c r="E489">
        <v>0.5</v>
      </c>
      <c r="F489" s="3">
        <v>30</v>
      </c>
      <c r="T489">
        <v>1</v>
      </c>
      <c r="U489" s="2">
        <v>45042</v>
      </c>
      <c r="V489">
        <v>4.9253935660506496</v>
      </c>
    </row>
    <row r="490" spans="2:22" x14ac:dyDescent="0.25">
      <c r="B490" s="1" t="s">
        <v>125</v>
      </c>
      <c r="C490" s="2">
        <v>42436</v>
      </c>
      <c r="D490">
        <v>0</v>
      </c>
      <c r="E490">
        <v>0</v>
      </c>
      <c r="F490" s="3">
        <v>30</v>
      </c>
      <c r="T490">
        <v>1</v>
      </c>
      <c r="U490" s="2">
        <v>44974</v>
      </c>
      <c r="V490">
        <v>7.9452429842573604</v>
      </c>
    </row>
    <row r="491" spans="2:22" x14ac:dyDescent="0.25">
      <c r="B491" s="1" t="s">
        <v>125</v>
      </c>
      <c r="C491" s="2">
        <v>42796</v>
      </c>
      <c r="D491">
        <v>0</v>
      </c>
      <c r="E491">
        <v>0</v>
      </c>
      <c r="F491" s="3">
        <v>29</v>
      </c>
      <c r="T491">
        <v>1</v>
      </c>
      <c r="U491" s="2">
        <v>44974</v>
      </c>
      <c r="V491">
        <v>7.9452429842573604</v>
      </c>
    </row>
    <row r="492" spans="2:22" x14ac:dyDescent="0.25">
      <c r="B492" s="1" t="s">
        <v>125</v>
      </c>
      <c r="C492" s="2">
        <v>43165</v>
      </c>
      <c r="D492">
        <v>0</v>
      </c>
      <c r="E492">
        <v>0</v>
      </c>
      <c r="F492" s="3">
        <v>29</v>
      </c>
      <c r="T492">
        <v>1</v>
      </c>
      <c r="U492" s="2">
        <v>44974</v>
      </c>
      <c r="V492">
        <v>7.9452429842573604</v>
      </c>
    </row>
    <row r="493" spans="2:22" x14ac:dyDescent="0.25">
      <c r="B493" s="1" t="s">
        <v>125</v>
      </c>
      <c r="C493" s="2">
        <v>43536</v>
      </c>
      <c r="D493">
        <v>0</v>
      </c>
      <c r="E493">
        <v>0</v>
      </c>
      <c r="F493" s="3">
        <v>30</v>
      </c>
      <c r="T493">
        <v>1</v>
      </c>
      <c r="U493" s="2">
        <v>44974</v>
      </c>
      <c r="V493">
        <v>7.9452429842573604</v>
      </c>
    </row>
    <row r="494" spans="2:22" x14ac:dyDescent="0.25">
      <c r="B494" s="1" t="s">
        <v>125</v>
      </c>
      <c r="C494" s="2">
        <v>43965</v>
      </c>
      <c r="D494" t="s">
        <v>31</v>
      </c>
      <c r="E494" t="s">
        <v>31</v>
      </c>
      <c r="F494" s="3" t="s">
        <v>31</v>
      </c>
      <c r="T494">
        <v>1</v>
      </c>
      <c r="U494" s="2">
        <v>44974</v>
      </c>
      <c r="V494">
        <v>7.9452429842573604</v>
      </c>
    </row>
    <row r="495" spans="2:22" x14ac:dyDescent="0.25">
      <c r="B495" s="1" t="s">
        <v>125</v>
      </c>
      <c r="C495" s="2">
        <v>44253</v>
      </c>
      <c r="D495">
        <v>0</v>
      </c>
      <c r="E495">
        <v>0</v>
      </c>
      <c r="F495" s="3"/>
      <c r="T495">
        <v>1</v>
      </c>
      <c r="U495" s="2">
        <v>44974</v>
      </c>
      <c r="V495">
        <v>7.9452429842573604</v>
      </c>
    </row>
    <row r="496" spans="2:22" x14ac:dyDescent="0.25">
      <c r="B496" s="1" t="s">
        <v>125</v>
      </c>
      <c r="C496" s="2">
        <v>44638</v>
      </c>
      <c r="D496">
        <v>0</v>
      </c>
      <c r="E496">
        <v>0</v>
      </c>
      <c r="F496" s="3">
        <v>29</v>
      </c>
      <c r="T496">
        <v>1</v>
      </c>
      <c r="U496" s="2">
        <v>44974</v>
      </c>
      <c r="V496">
        <v>7.9452429842573604</v>
      </c>
    </row>
    <row r="497" spans="2:22" x14ac:dyDescent="0.25">
      <c r="B497" s="1" t="s">
        <v>125</v>
      </c>
      <c r="C497" s="2">
        <v>44974</v>
      </c>
      <c r="D497">
        <v>0</v>
      </c>
      <c r="E497">
        <v>0</v>
      </c>
      <c r="F497" s="3">
        <v>28</v>
      </c>
      <c r="T497">
        <v>1</v>
      </c>
      <c r="U497" s="2">
        <v>44974</v>
      </c>
      <c r="V497">
        <v>7.9452429842573604</v>
      </c>
    </row>
    <row r="498" spans="2:22" x14ac:dyDescent="0.25">
      <c r="B498" s="1" t="s">
        <v>126</v>
      </c>
      <c r="C498" s="2">
        <v>42940</v>
      </c>
      <c r="D498">
        <v>0</v>
      </c>
      <c r="E498">
        <v>0</v>
      </c>
      <c r="F498" s="3">
        <v>28</v>
      </c>
      <c r="T498">
        <v>1</v>
      </c>
      <c r="U498" s="2">
        <v>42940</v>
      </c>
      <c r="V498">
        <v>1.0458590006844599</v>
      </c>
    </row>
    <row r="499" spans="2:22" x14ac:dyDescent="0.25">
      <c r="B499" s="1" t="s">
        <v>126</v>
      </c>
      <c r="C499" s="2">
        <v>43283</v>
      </c>
      <c r="D499">
        <v>2</v>
      </c>
      <c r="E499">
        <v>0.5</v>
      </c>
      <c r="F499" s="3">
        <v>27</v>
      </c>
      <c r="T499">
        <v>1</v>
      </c>
      <c r="U499" s="2">
        <v>42940</v>
      </c>
      <c r="V499">
        <v>1.0458590006844599</v>
      </c>
    </row>
    <row r="500" spans="2:22" x14ac:dyDescent="0.25">
      <c r="B500" s="1" t="s">
        <v>127</v>
      </c>
      <c r="C500" s="2">
        <v>42845</v>
      </c>
      <c r="D500">
        <v>0</v>
      </c>
      <c r="E500">
        <v>0</v>
      </c>
      <c r="F500" s="3">
        <v>28</v>
      </c>
      <c r="G500">
        <v>1757.27004802294</v>
      </c>
      <c r="H500">
        <v>1.42266218575023</v>
      </c>
      <c r="I500">
        <v>5217.8300451629402</v>
      </c>
      <c r="J500">
        <v>3.7466484098906401</v>
      </c>
      <c r="K500">
        <v>396.50818093085502</v>
      </c>
      <c r="L500">
        <v>1.13893203504976</v>
      </c>
      <c r="M500">
        <v>360.503569303863</v>
      </c>
      <c r="N500">
        <v>3.40938229897804</v>
      </c>
      <c r="O500">
        <v>39.966000000000001</v>
      </c>
      <c r="P500">
        <v>1.9894000000000001</v>
      </c>
      <c r="Q500">
        <v>7.5991011109767373E-2</v>
      </c>
      <c r="R500">
        <v>9.9211374901379923</v>
      </c>
      <c r="S500">
        <v>0</v>
      </c>
      <c r="T500">
        <v>1</v>
      </c>
      <c r="U500" s="2">
        <v>43222</v>
      </c>
      <c r="V500">
        <v>2.0068446269678302</v>
      </c>
    </row>
    <row r="501" spans="2:22" x14ac:dyDescent="0.25">
      <c r="B501" s="1" t="s">
        <v>127</v>
      </c>
      <c r="C501" s="2">
        <v>43222</v>
      </c>
      <c r="D501">
        <v>2.5</v>
      </c>
      <c r="E501">
        <v>0.5</v>
      </c>
      <c r="F501" s="3">
        <v>26</v>
      </c>
      <c r="T501">
        <v>1</v>
      </c>
      <c r="U501" s="2">
        <v>43222</v>
      </c>
      <c r="V501">
        <v>2.0068446269678302</v>
      </c>
    </row>
    <row r="502" spans="2:22" x14ac:dyDescent="0.25">
      <c r="B502" s="1" t="s">
        <v>127</v>
      </c>
      <c r="C502" s="2">
        <v>43542</v>
      </c>
      <c r="D502">
        <v>1</v>
      </c>
      <c r="E502">
        <v>0.5</v>
      </c>
      <c r="F502" s="3">
        <v>25</v>
      </c>
      <c r="T502">
        <v>1</v>
      </c>
      <c r="U502" s="2">
        <v>43222</v>
      </c>
      <c r="V502">
        <v>2.0068446269678302</v>
      </c>
    </row>
    <row r="503" spans="2:22" x14ac:dyDescent="0.25">
      <c r="B503" s="1" t="s">
        <v>128</v>
      </c>
      <c r="C503" s="2">
        <v>43150</v>
      </c>
      <c r="D503">
        <v>0</v>
      </c>
      <c r="E503">
        <v>0</v>
      </c>
      <c r="F503" s="3">
        <v>29</v>
      </c>
      <c r="T503">
        <v>1</v>
      </c>
      <c r="U503" s="2">
        <v>43675</v>
      </c>
      <c r="V503">
        <v>2.4722792607802901</v>
      </c>
    </row>
    <row r="504" spans="2:22" x14ac:dyDescent="0.25">
      <c r="B504" s="1" t="s">
        <v>128</v>
      </c>
      <c r="C504" s="2">
        <v>43675</v>
      </c>
      <c r="D504">
        <v>0.5</v>
      </c>
      <c r="E504">
        <v>0</v>
      </c>
      <c r="F504" s="3">
        <v>29</v>
      </c>
      <c r="T504">
        <v>1</v>
      </c>
      <c r="U504" s="2">
        <v>43675</v>
      </c>
      <c r="V504">
        <v>2.4722792607802901</v>
      </c>
    </row>
    <row r="505" spans="2:22" x14ac:dyDescent="0.25">
      <c r="B505" s="1" t="s">
        <v>129</v>
      </c>
      <c r="C505" s="2">
        <v>42562</v>
      </c>
      <c r="D505">
        <v>0</v>
      </c>
      <c r="E505">
        <v>0</v>
      </c>
      <c r="F505" s="3">
        <v>28</v>
      </c>
      <c r="T505">
        <v>1</v>
      </c>
      <c r="U505" s="2">
        <v>44816</v>
      </c>
      <c r="V505">
        <v>7.1676933607118398</v>
      </c>
    </row>
    <row r="506" spans="2:22" x14ac:dyDescent="0.25">
      <c r="B506" s="1" t="s">
        <v>129</v>
      </c>
      <c r="C506" s="2">
        <v>42935</v>
      </c>
      <c r="D506">
        <v>0.5</v>
      </c>
      <c r="E506">
        <v>0.5</v>
      </c>
      <c r="F506" s="3">
        <v>30</v>
      </c>
      <c r="T506">
        <v>1</v>
      </c>
      <c r="U506" s="2">
        <v>44816</v>
      </c>
      <c r="V506">
        <v>7.1676933607118398</v>
      </c>
    </row>
    <row r="507" spans="2:22" x14ac:dyDescent="0.25">
      <c r="B507" s="1" t="s">
        <v>129</v>
      </c>
      <c r="C507" s="2">
        <v>43278</v>
      </c>
      <c r="D507">
        <v>0</v>
      </c>
      <c r="E507">
        <v>0</v>
      </c>
      <c r="F507" s="3">
        <v>28</v>
      </c>
      <c r="T507">
        <v>1</v>
      </c>
      <c r="U507" s="2">
        <v>44816</v>
      </c>
      <c r="V507">
        <v>7.1676933607118398</v>
      </c>
    </row>
    <row r="508" spans="2:22" x14ac:dyDescent="0.25">
      <c r="B508" s="1" t="s">
        <v>129</v>
      </c>
      <c r="C508" s="2">
        <v>43628</v>
      </c>
      <c r="D508">
        <v>0</v>
      </c>
      <c r="E508">
        <v>0</v>
      </c>
      <c r="F508" s="3">
        <v>28</v>
      </c>
      <c r="T508">
        <v>1</v>
      </c>
      <c r="U508" s="2">
        <v>44816</v>
      </c>
      <c r="V508">
        <v>7.1676933607118398</v>
      </c>
    </row>
    <row r="509" spans="2:22" x14ac:dyDescent="0.25">
      <c r="B509" s="1" t="s">
        <v>129</v>
      </c>
      <c r="C509" s="2">
        <v>44007</v>
      </c>
      <c r="D509" t="s">
        <v>31</v>
      </c>
      <c r="E509">
        <v>0</v>
      </c>
      <c r="F509" s="3">
        <v>28</v>
      </c>
      <c r="T509">
        <v>1</v>
      </c>
      <c r="U509" s="2">
        <v>44816</v>
      </c>
      <c r="V509">
        <v>7.1676933607118398</v>
      </c>
    </row>
    <row r="510" spans="2:22" x14ac:dyDescent="0.25">
      <c r="B510" s="1" t="s">
        <v>129</v>
      </c>
      <c r="C510" s="2">
        <v>44389</v>
      </c>
      <c r="D510">
        <v>0.5</v>
      </c>
      <c r="E510">
        <v>0</v>
      </c>
      <c r="F510" s="3">
        <v>30</v>
      </c>
      <c r="T510">
        <v>1</v>
      </c>
      <c r="U510" s="2">
        <v>44816</v>
      </c>
      <c r="V510">
        <v>7.1676933607118398</v>
      </c>
    </row>
    <row r="511" spans="2:22" x14ac:dyDescent="0.25">
      <c r="B511" s="1" t="s">
        <v>129</v>
      </c>
      <c r="C511" s="2">
        <v>44816</v>
      </c>
      <c r="D511">
        <v>0</v>
      </c>
      <c r="E511">
        <v>0</v>
      </c>
      <c r="F511" s="3">
        <v>28</v>
      </c>
      <c r="T511">
        <v>1</v>
      </c>
      <c r="U511" s="2">
        <v>44816</v>
      </c>
      <c r="V511">
        <v>7.1676933607118398</v>
      </c>
    </row>
    <row r="512" spans="2:22" x14ac:dyDescent="0.25">
      <c r="B512" s="1" t="s">
        <v>130</v>
      </c>
      <c r="C512" s="2">
        <v>42332</v>
      </c>
      <c r="D512">
        <v>1</v>
      </c>
      <c r="E512">
        <v>0.5</v>
      </c>
      <c r="F512" s="3">
        <v>30</v>
      </c>
      <c r="T512">
        <v>1</v>
      </c>
      <c r="U512" s="2">
        <v>43026</v>
      </c>
      <c r="V512">
        <v>2.8993839835728998</v>
      </c>
    </row>
    <row r="513" spans="2:22" x14ac:dyDescent="0.25">
      <c r="B513" s="1" t="s">
        <v>130</v>
      </c>
      <c r="C513" s="2">
        <v>42698</v>
      </c>
      <c r="D513">
        <v>1</v>
      </c>
      <c r="E513">
        <v>0.5</v>
      </c>
      <c r="F513" s="3">
        <v>29</v>
      </c>
      <c r="G513">
        <v>2410.6981587575601</v>
      </c>
      <c r="H513">
        <v>0.28994967361997198</v>
      </c>
      <c r="I513">
        <v>6787.2187363005496</v>
      </c>
      <c r="J513">
        <v>0.96452335604224904</v>
      </c>
      <c r="K513">
        <v>368.96846430695399</v>
      </c>
      <c r="L513">
        <v>3.4039706233232798</v>
      </c>
      <c r="M513">
        <v>352.07319697618999</v>
      </c>
      <c r="N513">
        <v>1.1188192251229401</v>
      </c>
      <c r="O513">
        <v>51.857999999999997</v>
      </c>
      <c r="P513">
        <v>2.3647</v>
      </c>
      <c r="Q513">
        <v>5.4362247430390677E-2</v>
      </c>
      <c r="R513">
        <v>7.1149767501051722</v>
      </c>
      <c r="S513">
        <v>0</v>
      </c>
      <c r="T513">
        <v>1</v>
      </c>
      <c r="U513" s="2">
        <v>43026</v>
      </c>
      <c r="V513">
        <v>2.8993839835728998</v>
      </c>
    </row>
    <row r="514" spans="2:22" x14ac:dyDescent="0.25">
      <c r="B514" s="1" t="s">
        <v>130</v>
      </c>
      <c r="C514" s="2">
        <v>43026</v>
      </c>
      <c r="D514">
        <v>0.5</v>
      </c>
      <c r="E514">
        <v>0.5</v>
      </c>
      <c r="F514" s="3">
        <v>27</v>
      </c>
      <c r="T514">
        <v>1</v>
      </c>
      <c r="U514" s="2">
        <v>43026</v>
      </c>
      <c r="V514">
        <v>2.8993839835728998</v>
      </c>
    </row>
    <row r="515" spans="2:22" x14ac:dyDescent="0.25">
      <c r="B515" s="1" t="s">
        <v>130</v>
      </c>
      <c r="C515" s="2">
        <v>43412</v>
      </c>
      <c r="D515">
        <v>4</v>
      </c>
      <c r="E515">
        <v>1</v>
      </c>
      <c r="F515" s="3">
        <v>27</v>
      </c>
      <c r="G515">
        <v>2496.0034463451698</v>
      </c>
      <c r="H515">
        <v>0.39660116164396197</v>
      </c>
      <c r="I515">
        <v>6910.8020023286399</v>
      </c>
      <c r="J515">
        <v>4.2682774388865097</v>
      </c>
      <c r="K515">
        <v>385.05422324384801</v>
      </c>
      <c r="L515">
        <v>3.8562266478490099</v>
      </c>
      <c r="M515">
        <v>376.37181043364001</v>
      </c>
      <c r="N515">
        <v>9.3362975311194294</v>
      </c>
      <c r="O515">
        <v>49.542000000000002</v>
      </c>
      <c r="P515">
        <v>1.8187</v>
      </c>
      <c r="Q515">
        <v>5.5717733356287949E-2</v>
      </c>
      <c r="R515">
        <v>7.7722785362691864</v>
      </c>
      <c r="S515">
        <v>0</v>
      </c>
      <c r="T515">
        <v>1</v>
      </c>
      <c r="U515" s="2">
        <v>43026</v>
      </c>
      <c r="V515">
        <v>2.8993839835728998</v>
      </c>
    </row>
    <row r="516" spans="2:22" x14ac:dyDescent="0.25">
      <c r="B516" s="1" t="s">
        <v>130</v>
      </c>
      <c r="C516" s="2">
        <v>43780</v>
      </c>
      <c r="D516">
        <v>7</v>
      </c>
      <c r="E516">
        <v>1</v>
      </c>
      <c r="F516" s="3">
        <v>24</v>
      </c>
      <c r="T516">
        <v>1</v>
      </c>
      <c r="U516" s="2">
        <v>43026</v>
      </c>
      <c r="V516">
        <v>2.8993839835728998</v>
      </c>
    </row>
    <row r="517" spans="2:22" x14ac:dyDescent="0.25">
      <c r="B517" s="1" t="s">
        <v>130</v>
      </c>
      <c r="C517" s="2">
        <v>44173</v>
      </c>
      <c r="D517">
        <v>8</v>
      </c>
      <c r="E517">
        <v>2</v>
      </c>
      <c r="F517" s="3">
        <v>15</v>
      </c>
      <c r="G517">
        <v>1773.5599661906499</v>
      </c>
      <c r="H517">
        <v>3.0122442018887599</v>
      </c>
      <c r="I517">
        <v>5979.4938054583299</v>
      </c>
      <c r="J517">
        <v>1.70059467183607</v>
      </c>
      <c r="K517">
        <v>295.72029989985401</v>
      </c>
      <c r="L517">
        <v>5.2521400274720902E-2</v>
      </c>
      <c r="M517">
        <v>543.12141694492698</v>
      </c>
      <c r="N517">
        <v>2.3665810516058898</v>
      </c>
      <c r="O517">
        <v>52.57</v>
      </c>
      <c r="P517">
        <v>0.52098</v>
      </c>
      <c r="Q517">
        <v>4.9455741492684259E-2</v>
      </c>
      <c r="R517">
        <v>5.6252672607923531</v>
      </c>
      <c r="S517">
        <v>0</v>
      </c>
      <c r="T517">
        <v>1</v>
      </c>
      <c r="U517" s="2">
        <v>43026</v>
      </c>
      <c r="V517">
        <v>2.8993839835728998</v>
      </c>
    </row>
    <row r="518" spans="2:22" x14ac:dyDescent="0.25">
      <c r="B518" s="1" t="s">
        <v>130</v>
      </c>
      <c r="C518" s="2">
        <v>44517</v>
      </c>
      <c r="D518">
        <v>11</v>
      </c>
      <c r="E518">
        <v>2</v>
      </c>
      <c r="F518" s="3">
        <v>16</v>
      </c>
      <c r="T518">
        <v>1</v>
      </c>
      <c r="U518" s="2">
        <v>43026</v>
      </c>
      <c r="V518">
        <v>2.8993839835728998</v>
      </c>
    </row>
    <row r="519" spans="2:22" x14ac:dyDescent="0.25">
      <c r="B519" s="1" t="s">
        <v>130</v>
      </c>
      <c r="C519" s="2">
        <v>44909</v>
      </c>
      <c r="D519">
        <v>12</v>
      </c>
      <c r="E519">
        <v>2</v>
      </c>
      <c r="F519" s="3">
        <v>14</v>
      </c>
      <c r="I519">
        <v>8066</v>
      </c>
      <c r="K519">
        <v>437</v>
      </c>
      <c r="M519">
        <v>457</v>
      </c>
      <c r="O519">
        <v>60.6</v>
      </c>
      <c r="Q519">
        <v>5.4178031242251429E-2</v>
      </c>
      <c r="R519">
        <v>7.2112211221122111</v>
      </c>
      <c r="S519">
        <v>1</v>
      </c>
      <c r="T519">
        <v>1</v>
      </c>
      <c r="U519" s="2">
        <v>43026</v>
      </c>
      <c r="V519">
        <v>2.8993839835728998</v>
      </c>
    </row>
    <row r="520" spans="2:22" x14ac:dyDescent="0.25">
      <c r="B520" s="1" t="s">
        <v>130</v>
      </c>
      <c r="C520" s="2">
        <v>45271</v>
      </c>
      <c r="D520">
        <v>14</v>
      </c>
      <c r="E520">
        <v>2</v>
      </c>
      <c r="F520" s="3">
        <v>10</v>
      </c>
      <c r="T520">
        <v>1</v>
      </c>
      <c r="U520" s="2">
        <v>43026</v>
      </c>
      <c r="V520">
        <v>2.8993839835728998</v>
      </c>
    </row>
    <row r="521" spans="2:22" x14ac:dyDescent="0.25">
      <c r="B521" s="1" t="s">
        <v>131</v>
      </c>
      <c r="C521" s="2">
        <v>43276</v>
      </c>
      <c r="D521">
        <v>0.5</v>
      </c>
      <c r="E521">
        <v>0.5</v>
      </c>
      <c r="F521" s="3">
        <v>30</v>
      </c>
      <c r="T521">
        <v>1</v>
      </c>
      <c r="U521" s="2">
        <v>44813</v>
      </c>
      <c r="V521">
        <v>5.2046543463381196</v>
      </c>
    </row>
    <row r="522" spans="2:22" x14ac:dyDescent="0.25">
      <c r="B522" s="1" t="s">
        <v>131</v>
      </c>
      <c r="C522" s="2">
        <v>43647</v>
      </c>
      <c r="D522">
        <v>0</v>
      </c>
      <c r="E522">
        <v>0</v>
      </c>
      <c r="F522" s="3">
        <v>30</v>
      </c>
      <c r="T522">
        <v>1</v>
      </c>
      <c r="U522" s="2">
        <v>44813</v>
      </c>
      <c r="V522">
        <v>5.2046543463381196</v>
      </c>
    </row>
    <row r="523" spans="2:22" x14ac:dyDescent="0.25">
      <c r="B523" s="1" t="s">
        <v>131</v>
      </c>
      <c r="C523" s="2">
        <v>43991</v>
      </c>
      <c r="D523">
        <v>0.5</v>
      </c>
      <c r="E523">
        <v>0.5</v>
      </c>
      <c r="F523" s="3">
        <v>30</v>
      </c>
      <c r="T523">
        <v>1</v>
      </c>
      <c r="U523" s="2">
        <v>44813</v>
      </c>
      <c r="V523">
        <v>5.2046543463381196</v>
      </c>
    </row>
    <row r="524" spans="2:22" x14ac:dyDescent="0.25">
      <c r="B524" s="1" t="s">
        <v>131</v>
      </c>
      <c r="C524" s="2">
        <v>44405</v>
      </c>
      <c r="D524">
        <v>1</v>
      </c>
      <c r="E524">
        <v>0.5</v>
      </c>
      <c r="F524" s="3">
        <v>30</v>
      </c>
      <c r="T524">
        <v>1</v>
      </c>
      <c r="U524" s="2">
        <v>44813</v>
      </c>
      <c r="V524">
        <v>5.2046543463381196</v>
      </c>
    </row>
    <row r="525" spans="2:22" x14ac:dyDescent="0.25">
      <c r="B525" s="1" t="s">
        <v>131</v>
      </c>
      <c r="C525" s="2">
        <v>44813</v>
      </c>
      <c r="D525">
        <v>1</v>
      </c>
      <c r="E525">
        <v>0.5</v>
      </c>
      <c r="F525" s="3">
        <v>29</v>
      </c>
      <c r="T525">
        <v>1</v>
      </c>
      <c r="U525" s="2">
        <v>44813</v>
      </c>
      <c r="V525">
        <v>5.2046543463381196</v>
      </c>
    </row>
    <row r="526" spans="2:22" x14ac:dyDescent="0.25">
      <c r="B526" s="1" t="s">
        <v>131</v>
      </c>
      <c r="C526" s="2">
        <v>45189</v>
      </c>
      <c r="D526">
        <v>4</v>
      </c>
      <c r="E526">
        <v>0.5</v>
      </c>
      <c r="F526" s="3">
        <v>27</v>
      </c>
      <c r="T526">
        <v>1</v>
      </c>
      <c r="U526" s="2">
        <v>44813</v>
      </c>
      <c r="V526">
        <v>5.2046543463381196</v>
      </c>
    </row>
    <row r="527" spans="2:22" x14ac:dyDescent="0.25">
      <c r="B527" s="1" t="s">
        <v>132</v>
      </c>
      <c r="C527" s="2">
        <v>43474</v>
      </c>
      <c r="D527">
        <v>0</v>
      </c>
      <c r="E527">
        <v>0</v>
      </c>
      <c r="F527" s="3">
        <v>30</v>
      </c>
      <c r="T527">
        <v>1</v>
      </c>
      <c r="U527" s="2">
        <v>45268</v>
      </c>
      <c r="V527">
        <v>6.0068446269678297</v>
      </c>
    </row>
    <row r="528" spans="2:22" x14ac:dyDescent="0.25">
      <c r="B528" s="1" t="s">
        <v>132</v>
      </c>
      <c r="C528" s="2">
        <v>43794</v>
      </c>
      <c r="D528">
        <v>0</v>
      </c>
      <c r="E528">
        <v>0</v>
      </c>
      <c r="F528" s="3">
        <v>29</v>
      </c>
      <c r="T528">
        <v>1</v>
      </c>
      <c r="U528" s="2">
        <v>45268</v>
      </c>
      <c r="V528">
        <v>6.0068446269678297</v>
      </c>
    </row>
    <row r="529" spans="2:22" x14ac:dyDescent="0.25">
      <c r="B529" s="1" t="s">
        <v>132</v>
      </c>
      <c r="C529" s="2">
        <v>44229</v>
      </c>
      <c r="D529">
        <v>0</v>
      </c>
      <c r="E529">
        <v>0</v>
      </c>
      <c r="F529" s="3"/>
      <c r="T529">
        <v>1</v>
      </c>
      <c r="U529" s="2">
        <v>45268</v>
      </c>
      <c r="V529">
        <v>6.0068446269678297</v>
      </c>
    </row>
    <row r="530" spans="2:22" x14ac:dyDescent="0.25">
      <c r="B530" s="1" t="s">
        <v>132</v>
      </c>
      <c r="C530" s="2">
        <v>44540</v>
      </c>
      <c r="D530">
        <v>0</v>
      </c>
      <c r="E530">
        <v>0</v>
      </c>
      <c r="F530" s="3">
        <v>30</v>
      </c>
      <c r="T530">
        <v>1</v>
      </c>
      <c r="U530" s="2">
        <v>45268</v>
      </c>
      <c r="V530">
        <v>6.0068446269678297</v>
      </c>
    </row>
    <row r="531" spans="2:22" x14ac:dyDescent="0.25">
      <c r="B531" s="1" t="s">
        <v>132</v>
      </c>
      <c r="C531" s="2">
        <v>44981</v>
      </c>
      <c r="D531">
        <v>0</v>
      </c>
      <c r="E531">
        <v>0</v>
      </c>
      <c r="F531" s="3">
        <v>29</v>
      </c>
      <c r="T531">
        <v>1</v>
      </c>
      <c r="U531" s="2">
        <v>45268</v>
      </c>
      <c r="V531">
        <v>6.0068446269678297</v>
      </c>
    </row>
    <row r="532" spans="2:22" x14ac:dyDescent="0.25">
      <c r="B532" s="1" t="s">
        <v>132</v>
      </c>
      <c r="C532" s="2">
        <v>45268</v>
      </c>
      <c r="D532">
        <v>0</v>
      </c>
      <c r="E532">
        <v>0</v>
      </c>
      <c r="F532" s="3">
        <v>27</v>
      </c>
      <c r="T532">
        <v>1</v>
      </c>
      <c r="U532" s="2">
        <v>45268</v>
      </c>
      <c r="V532">
        <v>6.0068446269678297</v>
      </c>
    </row>
    <row r="533" spans="2:22" x14ac:dyDescent="0.25">
      <c r="B533" s="1" t="s">
        <v>133</v>
      </c>
      <c r="C533" s="2">
        <v>42450</v>
      </c>
      <c r="D533">
        <v>2.5</v>
      </c>
      <c r="E533">
        <v>0.5</v>
      </c>
      <c r="F533" s="3">
        <v>28</v>
      </c>
      <c r="T533">
        <v>1</v>
      </c>
      <c r="U533" s="2">
        <v>42450</v>
      </c>
      <c r="V533">
        <v>0.99657768651608503</v>
      </c>
    </row>
    <row r="534" spans="2:22" x14ac:dyDescent="0.25">
      <c r="B534" s="1" t="s">
        <v>133</v>
      </c>
      <c r="C534" s="2">
        <v>42817</v>
      </c>
      <c r="D534">
        <v>3.5</v>
      </c>
      <c r="E534">
        <v>0.5</v>
      </c>
      <c r="F534" s="3">
        <v>28</v>
      </c>
      <c r="T534">
        <v>1</v>
      </c>
      <c r="U534" s="2">
        <v>42450</v>
      </c>
      <c r="V534">
        <v>0.99657768651608503</v>
      </c>
    </row>
    <row r="535" spans="2:22" x14ac:dyDescent="0.25">
      <c r="B535" s="1" t="s">
        <v>133</v>
      </c>
      <c r="C535" s="2">
        <v>43187</v>
      </c>
      <c r="D535">
        <v>2</v>
      </c>
      <c r="E535">
        <v>0.5</v>
      </c>
      <c r="F535" s="3">
        <v>27</v>
      </c>
      <c r="T535">
        <v>1</v>
      </c>
      <c r="U535" s="2">
        <v>42450</v>
      </c>
      <c r="V535">
        <v>0.99657768651608503</v>
      </c>
    </row>
    <row r="536" spans="2:22" x14ac:dyDescent="0.25">
      <c r="B536" s="1" t="s">
        <v>133</v>
      </c>
      <c r="C536" s="2">
        <v>43549</v>
      </c>
      <c r="D536">
        <v>3</v>
      </c>
      <c r="E536">
        <v>0.5</v>
      </c>
      <c r="F536" s="3">
        <v>24</v>
      </c>
      <c r="T536">
        <v>1</v>
      </c>
      <c r="U536" s="2">
        <v>42450</v>
      </c>
      <c r="V536">
        <v>0.99657768651608503</v>
      </c>
    </row>
    <row r="537" spans="2:22" x14ac:dyDescent="0.25">
      <c r="B537" s="1" t="s">
        <v>133</v>
      </c>
      <c r="C537" s="2">
        <v>44271</v>
      </c>
      <c r="D537">
        <v>3.5</v>
      </c>
      <c r="E537">
        <v>0.5</v>
      </c>
      <c r="F537" s="3">
        <v>25</v>
      </c>
      <c r="T537">
        <v>1</v>
      </c>
      <c r="U537" s="2">
        <v>42450</v>
      </c>
      <c r="V537">
        <v>0.99657768651608503</v>
      </c>
    </row>
    <row r="538" spans="2:22" x14ac:dyDescent="0.25">
      <c r="B538" s="1" t="s">
        <v>133</v>
      </c>
      <c r="C538" s="2">
        <v>44756</v>
      </c>
      <c r="D538">
        <v>5.5</v>
      </c>
      <c r="E538">
        <v>1</v>
      </c>
      <c r="F538" s="3">
        <v>18</v>
      </c>
      <c r="T538">
        <v>1</v>
      </c>
      <c r="U538" s="2">
        <v>42450</v>
      </c>
      <c r="V538">
        <v>0.99657768651608503</v>
      </c>
    </row>
    <row r="539" spans="2:22" x14ac:dyDescent="0.25">
      <c r="B539" s="1" t="s">
        <v>134</v>
      </c>
      <c r="C539" s="2">
        <v>42591</v>
      </c>
      <c r="D539">
        <v>0.5</v>
      </c>
      <c r="E539">
        <v>0.5</v>
      </c>
      <c r="F539" s="3">
        <v>29</v>
      </c>
      <c r="T539">
        <v>1</v>
      </c>
      <c r="U539" s="2">
        <v>43334</v>
      </c>
      <c r="V539">
        <v>3.00616016427105</v>
      </c>
    </row>
    <row r="540" spans="2:22" x14ac:dyDescent="0.25">
      <c r="B540" s="1" t="s">
        <v>134</v>
      </c>
      <c r="C540" s="2">
        <v>42971</v>
      </c>
      <c r="D540">
        <v>0.5</v>
      </c>
      <c r="E540">
        <v>0.5</v>
      </c>
      <c r="F540" s="3">
        <v>30</v>
      </c>
      <c r="T540">
        <v>1</v>
      </c>
      <c r="U540" s="2">
        <v>43334</v>
      </c>
      <c r="V540">
        <v>3.00616016427105</v>
      </c>
    </row>
    <row r="541" spans="2:22" x14ac:dyDescent="0.25">
      <c r="B541" s="1" t="s">
        <v>134</v>
      </c>
      <c r="C541" s="2">
        <v>43334</v>
      </c>
      <c r="D541">
        <v>0.5</v>
      </c>
      <c r="E541">
        <v>0.5</v>
      </c>
      <c r="F541" s="3">
        <v>30</v>
      </c>
      <c r="T541">
        <v>1</v>
      </c>
      <c r="U541" s="2">
        <v>43334</v>
      </c>
      <c r="V541">
        <v>3.00616016427105</v>
      </c>
    </row>
    <row r="542" spans="2:22" x14ac:dyDescent="0.25">
      <c r="B542" s="1" t="s">
        <v>134</v>
      </c>
      <c r="C542" s="2">
        <v>43699</v>
      </c>
      <c r="D542">
        <v>0.5</v>
      </c>
      <c r="E542">
        <v>0.5</v>
      </c>
      <c r="F542" s="3">
        <v>30</v>
      </c>
      <c r="T542">
        <v>1</v>
      </c>
      <c r="U542" s="2">
        <v>43334</v>
      </c>
      <c r="V542">
        <v>3.00616016427105</v>
      </c>
    </row>
    <row r="543" spans="2:22" x14ac:dyDescent="0.25">
      <c r="B543" s="1" t="s">
        <v>134</v>
      </c>
      <c r="C543" s="2">
        <v>44070</v>
      </c>
      <c r="D543">
        <v>0.5</v>
      </c>
      <c r="E543">
        <v>0.5</v>
      </c>
      <c r="F543" s="3">
        <v>30</v>
      </c>
      <c r="T543">
        <v>1</v>
      </c>
      <c r="U543" s="2">
        <v>43334</v>
      </c>
      <c r="V543">
        <v>3.00616016427105</v>
      </c>
    </row>
    <row r="544" spans="2:22" x14ac:dyDescent="0.25">
      <c r="B544" s="1" t="s">
        <v>135</v>
      </c>
      <c r="C544" s="2">
        <v>43178</v>
      </c>
      <c r="D544" t="s">
        <v>31</v>
      </c>
      <c r="E544" t="s">
        <v>31</v>
      </c>
      <c r="F544" s="3">
        <v>30</v>
      </c>
      <c r="T544">
        <v>1</v>
      </c>
      <c r="U544" s="2">
        <v>43542</v>
      </c>
      <c r="V544">
        <v>1.97125256673511</v>
      </c>
    </row>
    <row r="545" spans="2:22" x14ac:dyDescent="0.25">
      <c r="B545" s="1" t="s">
        <v>135</v>
      </c>
      <c r="C545" s="2">
        <v>43542</v>
      </c>
      <c r="D545">
        <v>0</v>
      </c>
      <c r="E545">
        <v>0</v>
      </c>
      <c r="F545" s="3">
        <v>30</v>
      </c>
      <c r="T545">
        <v>1</v>
      </c>
      <c r="U545" s="2">
        <v>43542</v>
      </c>
      <c r="V545">
        <v>1.97125256673511</v>
      </c>
    </row>
    <row r="546" spans="2:22" x14ac:dyDescent="0.25">
      <c r="B546" s="1" t="s">
        <v>135</v>
      </c>
      <c r="C546" s="2">
        <v>43951</v>
      </c>
      <c r="D546">
        <v>0</v>
      </c>
      <c r="E546">
        <v>0</v>
      </c>
      <c r="F546" s="3"/>
      <c r="T546">
        <v>1</v>
      </c>
      <c r="U546" s="2">
        <v>43542</v>
      </c>
      <c r="V546">
        <v>1.97125256673511</v>
      </c>
    </row>
    <row r="547" spans="2:22" x14ac:dyDescent="0.25">
      <c r="B547" s="1" t="s">
        <v>135</v>
      </c>
      <c r="C547" s="2">
        <v>44277</v>
      </c>
      <c r="D547">
        <v>0</v>
      </c>
      <c r="E547">
        <v>0</v>
      </c>
      <c r="F547" s="3">
        <v>29</v>
      </c>
      <c r="T547">
        <v>1</v>
      </c>
      <c r="U547" s="2">
        <v>43542</v>
      </c>
      <c r="V547">
        <v>1.97125256673511</v>
      </c>
    </row>
    <row r="548" spans="2:22" x14ac:dyDescent="0.25">
      <c r="B548" s="1" t="s">
        <v>136</v>
      </c>
      <c r="C548" s="2">
        <v>43656</v>
      </c>
      <c r="D548">
        <v>1</v>
      </c>
      <c r="E548">
        <v>0.5</v>
      </c>
      <c r="F548" s="3">
        <v>28</v>
      </c>
      <c r="T548">
        <v>1</v>
      </c>
      <c r="U548" s="2">
        <v>43656</v>
      </c>
      <c r="V548">
        <v>1.14989733059548</v>
      </c>
    </row>
    <row r="549" spans="2:22" x14ac:dyDescent="0.25">
      <c r="B549" s="1" t="s">
        <v>136</v>
      </c>
      <c r="C549" s="2">
        <v>43999</v>
      </c>
      <c r="D549">
        <v>1.5</v>
      </c>
      <c r="E549">
        <v>0.5</v>
      </c>
      <c r="F549" s="3">
        <v>30</v>
      </c>
      <c r="T549">
        <v>1</v>
      </c>
      <c r="U549" s="2">
        <v>43656</v>
      </c>
      <c r="V549">
        <v>1.14989733059548</v>
      </c>
    </row>
    <row r="550" spans="2:22" x14ac:dyDescent="0.25">
      <c r="B550" s="1" t="s">
        <v>136</v>
      </c>
      <c r="C550" s="2">
        <v>44789</v>
      </c>
      <c r="D550">
        <v>1.5</v>
      </c>
      <c r="E550">
        <v>0.5</v>
      </c>
      <c r="F550" s="3">
        <v>27</v>
      </c>
      <c r="T550">
        <v>1</v>
      </c>
      <c r="U550" s="2">
        <v>43656</v>
      </c>
      <c r="V550">
        <v>1.14989733059548</v>
      </c>
    </row>
    <row r="551" spans="2:22" x14ac:dyDescent="0.25">
      <c r="B551" s="1" t="s">
        <v>137</v>
      </c>
      <c r="C551" s="2">
        <v>42222</v>
      </c>
      <c r="D551">
        <v>1</v>
      </c>
      <c r="E551">
        <v>0.5</v>
      </c>
      <c r="F551" s="3">
        <v>29</v>
      </c>
      <c r="T551">
        <v>1</v>
      </c>
      <c r="U551" s="2">
        <v>43325</v>
      </c>
      <c r="V551">
        <v>4.0246406570841904</v>
      </c>
    </row>
    <row r="552" spans="2:22" x14ac:dyDescent="0.25">
      <c r="B552" s="1" t="s">
        <v>137</v>
      </c>
      <c r="C552" s="2">
        <v>42593</v>
      </c>
      <c r="D552">
        <v>0</v>
      </c>
      <c r="E552">
        <v>0</v>
      </c>
      <c r="F552" s="3">
        <v>28</v>
      </c>
      <c r="T552">
        <v>1</v>
      </c>
      <c r="U552" s="2">
        <v>43325</v>
      </c>
      <c r="V552">
        <v>4.0246406570841904</v>
      </c>
    </row>
    <row r="553" spans="2:22" x14ac:dyDescent="0.25">
      <c r="B553" s="1" t="s">
        <v>137</v>
      </c>
      <c r="C553" s="2">
        <v>42957</v>
      </c>
      <c r="D553">
        <v>0</v>
      </c>
      <c r="E553">
        <v>0</v>
      </c>
      <c r="F553" s="3">
        <v>30</v>
      </c>
      <c r="T553">
        <v>1</v>
      </c>
      <c r="U553" s="2">
        <v>43325</v>
      </c>
      <c r="V553">
        <v>4.0246406570841904</v>
      </c>
    </row>
    <row r="554" spans="2:22" x14ac:dyDescent="0.25">
      <c r="B554" s="1" t="s">
        <v>137</v>
      </c>
      <c r="C554" s="2">
        <v>43325</v>
      </c>
      <c r="D554">
        <v>0</v>
      </c>
      <c r="E554">
        <v>0</v>
      </c>
      <c r="F554" s="3">
        <v>30</v>
      </c>
      <c r="T554">
        <v>1</v>
      </c>
      <c r="U554" s="2">
        <v>43325</v>
      </c>
      <c r="V554">
        <v>4.0246406570841904</v>
      </c>
    </row>
    <row r="555" spans="2:22" x14ac:dyDescent="0.25">
      <c r="B555" s="1" t="s">
        <v>137</v>
      </c>
      <c r="C555" s="2">
        <v>43684</v>
      </c>
      <c r="D555">
        <v>0.5</v>
      </c>
      <c r="E555">
        <v>0.5</v>
      </c>
      <c r="F555" s="3">
        <v>26</v>
      </c>
      <c r="T555">
        <v>1</v>
      </c>
      <c r="U555" s="2">
        <v>43325</v>
      </c>
      <c r="V555">
        <v>4.0246406570841904</v>
      </c>
    </row>
    <row r="556" spans="2:22" x14ac:dyDescent="0.25">
      <c r="B556" s="1" t="s">
        <v>137</v>
      </c>
      <c r="C556" s="2">
        <v>44070</v>
      </c>
      <c r="D556">
        <v>0.5</v>
      </c>
      <c r="E556">
        <v>0.5</v>
      </c>
      <c r="F556" s="3">
        <v>28</v>
      </c>
      <c r="T556">
        <v>1</v>
      </c>
      <c r="U556" s="2">
        <v>43325</v>
      </c>
      <c r="V556">
        <v>4.0246406570841904</v>
      </c>
    </row>
    <row r="557" spans="2:22" x14ac:dyDescent="0.25">
      <c r="B557" s="1" t="s">
        <v>137</v>
      </c>
      <c r="C557" s="2">
        <v>44418</v>
      </c>
      <c r="D557">
        <v>3.5</v>
      </c>
      <c r="E557">
        <v>0.5</v>
      </c>
      <c r="F557" s="3">
        <v>24</v>
      </c>
      <c r="I557">
        <v>6791</v>
      </c>
      <c r="K557">
        <v>386</v>
      </c>
      <c r="M557">
        <v>303</v>
      </c>
      <c r="O557">
        <v>50.9</v>
      </c>
      <c r="Q557">
        <v>5.6839935208364008E-2</v>
      </c>
      <c r="R557">
        <v>7.5834970530451873</v>
      </c>
      <c r="S557">
        <v>1</v>
      </c>
      <c r="T557">
        <v>1</v>
      </c>
      <c r="U557" s="2">
        <v>43325</v>
      </c>
      <c r="V557">
        <v>4.0246406570841904</v>
      </c>
    </row>
    <row r="558" spans="2:22" x14ac:dyDescent="0.25">
      <c r="B558" s="1" t="s">
        <v>137</v>
      </c>
      <c r="C558" s="2">
        <v>44778</v>
      </c>
      <c r="D558">
        <v>6</v>
      </c>
      <c r="E558">
        <v>1</v>
      </c>
      <c r="F558" s="3">
        <v>23</v>
      </c>
      <c r="T558">
        <v>1</v>
      </c>
      <c r="U558" s="2">
        <v>43325</v>
      </c>
      <c r="V558">
        <v>4.0246406570841904</v>
      </c>
    </row>
    <row r="559" spans="2:22" x14ac:dyDescent="0.25">
      <c r="B559" s="1" t="s">
        <v>137</v>
      </c>
      <c r="C559" s="2">
        <v>45170</v>
      </c>
      <c r="D559">
        <v>4</v>
      </c>
      <c r="E559">
        <v>0.5</v>
      </c>
      <c r="F559" s="3">
        <v>25</v>
      </c>
      <c r="T559">
        <v>1</v>
      </c>
      <c r="U559" s="2">
        <v>43325</v>
      </c>
      <c r="V559">
        <v>4.0246406570841904</v>
      </c>
    </row>
    <row r="560" spans="2:22" x14ac:dyDescent="0.25">
      <c r="B560" s="1" t="s">
        <v>138</v>
      </c>
      <c r="C560" s="2">
        <v>43080</v>
      </c>
      <c r="D560">
        <v>0.5</v>
      </c>
      <c r="E560">
        <v>0.5</v>
      </c>
      <c r="F560" s="3">
        <v>30</v>
      </c>
      <c r="T560">
        <v>1</v>
      </c>
      <c r="U560" s="2">
        <v>43080</v>
      </c>
      <c r="V560">
        <v>0.97467488021902804</v>
      </c>
    </row>
    <row r="561" spans="2:22" x14ac:dyDescent="0.25">
      <c r="B561" s="1" t="s">
        <v>138</v>
      </c>
      <c r="C561" s="2">
        <v>43452</v>
      </c>
      <c r="D561">
        <v>0.5</v>
      </c>
      <c r="E561">
        <v>0.5</v>
      </c>
      <c r="F561" s="3">
        <v>27</v>
      </c>
      <c r="G561">
        <v>3895.33754561142</v>
      </c>
      <c r="H561">
        <v>0.49360018991284799</v>
      </c>
      <c r="I561">
        <v>9956.7828396346904</v>
      </c>
      <c r="J561">
        <v>1.64717962320698</v>
      </c>
      <c r="K561">
        <v>417.69943410374202</v>
      </c>
      <c r="L561">
        <v>0.43232519944238201</v>
      </c>
      <c r="M561">
        <v>638.61962161356303</v>
      </c>
      <c r="N561">
        <v>0.99290118206828104</v>
      </c>
      <c r="O561">
        <v>116.01</v>
      </c>
      <c r="P561">
        <v>1.0024</v>
      </c>
      <c r="Q561">
        <v>4.1951244777682348E-2</v>
      </c>
      <c r="R561">
        <v>3.6005467985841051</v>
      </c>
      <c r="S561">
        <v>0</v>
      </c>
      <c r="T561">
        <v>1</v>
      </c>
      <c r="U561" s="2">
        <v>43080</v>
      </c>
      <c r="V561">
        <v>0.97467488021902804</v>
      </c>
    </row>
    <row r="562" spans="2:22" x14ac:dyDescent="0.25">
      <c r="B562" s="1" t="s">
        <v>139</v>
      </c>
      <c r="C562" s="2">
        <v>43689</v>
      </c>
      <c r="D562" t="s">
        <v>31</v>
      </c>
      <c r="E562" t="s">
        <v>31</v>
      </c>
      <c r="F562" s="3">
        <v>29</v>
      </c>
      <c r="T562">
        <v>1</v>
      </c>
      <c r="U562" s="2">
        <v>45204</v>
      </c>
      <c r="V562">
        <v>5.13894592744695</v>
      </c>
    </row>
    <row r="563" spans="2:22" x14ac:dyDescent="0.25">
      <c r="B563" s="1" t="s">
        <v>139</v>
      </c>
      <c r="C563" s="2">
        <v>44109</v>
      </c>
      <c r="D563">
        <v>0</v>
      </c>
      <c r="E563">
        <v>0</v>
      </c>
      <c r="F563" s="3">
        <v>30</v>
      </c>
      <c r="T563">
        <v>1</v>
      </c>
      <c r="U563" s="2">
        <v>45204</v>
      </c>
      <c r="V563">
        <v>5.13894592744695</v>
      </c>
    </row>
    <row r="564" spans="2:22" x14ac:dyDescent="0.25">
      <c r="B564" s="1" t="s">
        <v>139</v>
      </c>
      <c r="C564" s="2">
        <v>44536</v>
      </c>
      <c r="D564">
        <v>0.5</v>
      </c>
      <c r="E564">
        <v>0.5</v>
      </c>
      <c r="F564" s="3">
        <v>30</v>
      </c>
      <c r="T564">
        <v>1</v>
      </c>
      <c r="U564" s="2">
        <v>45204</v>
      </c>
      <c r="V564">
        <v>5.13894592744695</v>
      </c>
    </row>
    <row r="565" spans="2:22" x14ac:dyDescent="0.25">
      <c r="B565" s="1" t="s">
        <v>139</v>
      </c>
      <c r="C565" s="2">
        <v>44805</v>
      </c>
      <c r="F565" s="3">
        <v>30</v>
      </c>
      <c r="T565">
        <v>1</v>
      </c>
      <c r="U565" s="2">
        <v>45204</v>
      </c>
      <c r="V565">
        <v>5.13894592744695</v>
      </c>
    </row>
    <row r="566" spans="2:22" x14ac:dyDescent="0.25">
      <c r="B566" s="1" t="s">
        <v>139</v>
      </c>
      <c r="C566" s="2">
        <v>45204</v>
      </c>
      <c r="D566">
        <v>0.5</v>
      </c>
      <c r="E566">
        <v>0.5</v>
      </c>
      <c r="F566" s="3">
        <v>29</v>
      </c>
      <c r="T566">
        <v>1</v>
      </c>
      <c r="U566" s="2">
        <v>45204</v>
      </c>
      <c r="V566">
        <v>5.13894592744695</v>
      </c>
    </row>
    <row r="567" spans="2:22" x14ac:dyDescent="0.25">
      <c r="B567" s="1" t="s">
        <v>140</v>
      </c>
      <c r="C567" s="2">
        <v>42381</v>
      </c>
      <c r="D567">
        <v>0.5</v>
      </c>
      <c r="E567">
        <v>0.5</v>
      </c>
      <c r="F567" s="3">
        <v>30</v>
      </c>
      <c r="T567">
        <v>1</v>
      </c>
      <c r="U567" s="2">
        <v>42381</v>
      </c>
      <c r="V567">
        <v>1.0157426420260101</v>
      </c>
    </row>
    <row r="568" spans="2:22" x14ac:dyDescent="0.25">
      <c r="B568" s="1" t="s">
        <v>140</v>
      </c>
      <c r="C568" s="2">
        <v>44518</v>
      </c>
      <c r="D568">
        <v>1.5</v>
      </c>
      <c r="E568">
        <v>0.5</v>
      </c>
      <c r="F568" s="3">
        <v>27</v>
      </c>
      <c r="T568">
        <v>1</v>
      </c>
      <c r="U568" s="2">
        <v>42381</v>
      </c>
      <c r="V568">
        <v>1.0157426420260101</v>
      </c>
    </row>
    <row r="569" spans="2:22" x14ac:dyDescent="0.25">
      <c r="B569" s="1" t="s">
        <v>140</v>
      </c>
      <c r="C569" s="2">
        <v>45043</v>
      </c>
      <c r="D569">
        <v>3.5</v>
      </c>
      <c r="E569">
        <v>0.5</v>
      </c>
      <c r="F569" s="3">
        <v>25</v>
      </c>
      <c r="T569">
        <v>1</v>
      </c>
      <c r="U569" s="2">
        <v>42381</v>
      </c>
      <c r="V569">
        <v>1.0157426420260101</v>
      </c>
    </row>
    <row r="570" spans="2:22" x14ac:dyDescent="0.25">
      <c r="B570" s="1" t="s">
        <v>141</v>
      </c>
      <c r="C570" s="2">
        <v>43677</v>
      </c>
      <c r="D570">
        <v>1</v>
      </c>
      <c r="E570">
        <v>0.5</v>
      </c>
      <c r="F570" s="3">
        <v>29</v>
      </c>
      <c r="T570">
        <v>1</v>
      </c>
      <c r="U570" s="2">
        <v>45043</v>
      </c>
      <c r="V570">
        <v>4.8323066392881602</v>
      </c>
    </row>
    <row r="571" spans="2:22" x14ac:dyDescent="0.25">
      <c r="B571" s="1" t="s">
        <v>141</v>
      </c>
      <c r="C571" s="2">
        <v>44040</v>
      </c>
      <c r="D571">
        <v>0.5</v>
      </c>
      <c r="E571">
        <v>0.5</v>
      </c>
      <c r="F571" s="3">
        <v>29</v>
      </c>
      <c r="T571">
        <v>1</v>
      </c>
      <c r="U571" s="2">
        <v>45043</v>
      </c>
      <c r="V571">
        <v>4.8323066392881602</v>
      </c>
    </row>
    <row r="572" spans="2:22" x14ac:dyDescent="0.25">
      <c r="B572" s="1" t="s">
        <v>141</v>
      </c>
      <c r="C572" s="2">
        <v>44488</v>
      </c>
      <c r="D572">
        <v>0</v>
      </c>
      <c r="E572">
        <v>0</v>
      </c>
      <c r="F572" s="3">
        <v>27</v>
      </c>
      <c r="T572">
        <v>1</v>
      </c>
      <c r="U572" s="2">
        <v>45043</v>
      </c>
      <c r="V572">
        <v>4.8323066392881602</v>
      </c>
    </row>
    <row r="573" spans="2:22" x14ac:dyDescent="0.25">
      <c r="B573" s="1" t="s">
        <v>141</v>
      </c>
      <c r="C573" s="2">
        <v>45043</v>
      </c>
      <c r="D573">
        <v>0</v>
      </c>
      <c r="E573">
        <v>0</v>
      </c>
      <c r="F573" s="3">
        <v>27</v>
      </c>
      <c r="T573">
        <v>1</v>
      </c>
      <c r="U573" s="2">
        <v>45043</v>
      </c>
      <c r="V573">
        <v>4.8323066392881602</v>
      </c>
    </row>
    <row r="574" spans="2:22" x14ac:dyDescent="0.25">
      <c r="B574" s="1" t="s">
        <v>142</v>
      </c>
      <c r="C574" s="2">
        <v>42515</v>
      </c>
      <c r="D574">
        <v>4</v>
      </c>
      <c r="E574">
        <v>0.5</v>
      </c>
      <c r="F574" s="3">
        <v>27</v>
      </c>
      <c r="T574">
        <v>1</v>
      </c>
      <c r="U574" s="2">
        <v>42515</v>
      </c>
      <c r="V574">
        <v>1.28405201916496</v>
      </c>
    </row>
    <row r="575" spans="2:22" x14ac:dyDescent="0.25">
      <c r="B575" s="1" t="s">
        <v>142</v>
      </c>
      <c r="C575" s="2">
        <v>42780</v>
      </c>
      <c r="D575">
        <v>1.5</v>
      </c>
      <c r="E575">
        <v>0.5</v>
      </c>
      <c r="F575" s="3">
        <v>28</v>
      </c>
      <c r="T575">
        <v>1</v>
      </c>
      <c r="U575" s="2">
        <v>42515</v>
      </c>
      <c r="V575">
        <v>1.28405201916496</v>
      </c>
    </row>
    <row r="576" spans="2:22" x14ac:dyDescent="0.25">
      <c r="B576" s="1" t="s">
        <v>142</v>
      </c>
      <c r="C576" s="2">
        <v>43171</v>
      </c>
      <c r="D576">
        <v>0.5</v>
      </c>
      <c r="E576">
        <v>0.5</v>
      </c>
      <c r="F576" s="3">
        <v>29</v>
      </c>
      <c r="T576">
        <v>1</v>
      </c>
      <c r="U576" s="2">
        <v>42515</v>
      </c>
      <c r="V576">
        <v>1.28405201916496</v>
      </c>
    </row>
    <row r="577" spans="2:22" x14ac:dyDescent="0.25">
      <c r="B577" s="1" t="s">
        <v>142</v>
      </c>
      <c r="C577" s="2">
        <v>43542</v>
      </c>
      <c r="D577">
        <v>1</v>
      </c>
      <c r="E577">
        <v>0.5</v>
      </c>
      <c r="F577" s="3">
        <v>27</v>
      </c>
      <c r="T577">
        <v>1</v>
      </c>
      <c r="U577" s="2">
        <v>42515</v>
      </c>
      <c r="V577">
        <v>1.28405201916496</v>
      </c>
    </row>
    <row r="578" spans="2:22" x14ac:dyDescent="0.25">
      <c r="B578" s="1" t="s">
        <v>142</v>
      </c>
      <c r="C578" s="2">
        <v>43874</v>
      </c>
      <c r="D578">
        <v>2.5</v>
      </c>
      <c r="E578">
        <v>0.5</v>
      </c>
      <c r="F578" s="3">
        <v>27</v>
      </c>
      <c r="T578">
        <v>1</v>
      </c>
      <c r="U578" s="2">
        <v>42515</v>
      </c>
      <c r="V578">
        <v>1.28405201916496</v>
      </c>
    </row>
    <row r="579" spans="2:22" x14ac:dyDescent="0.25">
      <c r="B579" s="1" t="s">
        <v>142</v>
      </c>
      <c r="C579" s="2">
        <v>44243</v>
      </c>
      <c r="D579">
        <v>5</v>
      </c>
      <c r="E579">
        <v>0.5</v>
      </c>
      <c r="F579" s="3"/>
      <c r="T579">
        <v>1</v>
      </c>
      <c r="U579" s="2">
        <v>42515</v>
      </c>
      <c r="V579">
        <v>1.28405201916496</v>
      </c>
    </row>
    <row r="580" spans="2:22" x14ac:dyDescent="0.25">
      <c r="B580" s="1" t="s">
        <v>142</v>
      </c>
      <c r="C580" s="2">
        <v>44606</v>
      </c>
      <c r="D580">
        <v>3</v>
      </c>
      <c r="E580">
        <v>0.5</v>
      </c>
      <c r="F580" s="3">
        <v>29</v>
      </c>
      <c r="T580">
        <v>1</v>
      </c>
      <c r="U580" s="2">
        <v>42515</v>
      </c>
      <c r="V580">
        <v>1.28405201916496</v>
      </c>
    </row>
    <row r="581" spans="2:22" x14ac:dyDescent="0.25">
      <c r="B581" s="1" t="s">
        <v>142</v>
      </c>
      <c r="C581" s="2">
        <v>44972</v>
      </c>
      <c r="D581">
        <v>3</v>
      </c>
      <c r="E581">
        <v>0.5</v>
      </c>
      <c r="F581" s="3">
        <v>28</v>
      </c>
      <c r="T581">
        <v>1</v>
      </c>
      <c r="U581" s="2">
        <v>42515</v>
      </c>
      <c r="V581">
        <v>1.28405201916496</v>
      </c>
    </row>
    <row r="582" spans="2:22" x14ac:dyDescent="0.25">
      <c r="B582" s="1" t="s">
        <v>143</v>
      </c>
      <c r="C582" s="2">
        <v>43691</v>
      </c>
      <c r="D582">
        <v>1.5</v>
      </c>
      <c r="E582">
        <v>0.5</v>
      </c>
      <c r="F582" s="3">
        <v>28</v>
      </c>
      <c r="T582">
        <v>1</v>
      </c>
      <c r="U582" s="2">
        <v>43691</v>
      </c>
      <c r="V582">
        <v>0.95824777549623497</v>
      </c>
    </row>
    <row r="583" spans="2:22" x14ac:dyDescent="0.25">
      <c r="B583" s="1" t="s">
        <v>143</v>
      </c>
      <c r="C583" s="2">
        <v>44056</v>
      </c>
      <c r="D583">
        <v>3</v>
      </c>
      <c r="E583">
        <v>0.5</v>
      </c>
      <c r="F583" s="3">
        <v>25</v>
      </c>
      <c r="T583">
        <v>1</v>
      </c>
      <c r="U583" s="2">
        <v>43691</v>
      </c>
      <c r="V583">
        <v>0.95824777549623497</v>
      </c>
    </row>
    <row r="584" spans="2:22" x14ac:dyDescent="0.25">
      <c r="B584" s="1" t="s">
        <v>144</v>
      </c>
      <c r="C584" s="2">
        <v>43179</v>
      </c>
      <c r="D584" t="s">
        <v>31</v>
      </c>
      <c r="E584" t="s">
        <v>31</v>
      </c>
      <c r="F584" s="3">
        <v>29</v>
      </c>
      <c r="T584">
        <v>1</v>
      </c>
      <c r="U584" s="2">
        <v>44781</v>
      </c>
      <c r="V584">
        <v>7.0828199863107502</v>
      </c>
    </row>
    <row r="585" spans="2:22" x14ac:dyDescent="0.25">
      <c r="B585" s="1" t="s">
        <v>144</v>
      </c>
      <c r="C585" s="2">
        <v>43643</v>
      </c>
      <c r="D585">
        <v>1.5</v>
      </c>
      <c r="E585">
        <v>0.5</v>
      </c>
      <c r="F585" s="3">
        <v>30</v>
      </c>
      <c r="G585">
        <v>2781.5850618121799</v>
      </c>
      <c r="H585">
        <v>3.2432953130146598</v>
      </c>
      <c r="I585">
        <v>8838.0319647017695</v>
      </c>
      <c r="J585">
        <v>0.35883452875642702</v>
      </c>
      <c r="K585">
        <v>406.09921243472701</v>
      </c>
      <c r="L585">
        <v>4.5067475394012897</v>
      </c>
      <c r="M585">
        <v>523.40305566545499</v>
      </c>
      <c r="N585">
        <v>0.17808279448241801</v>
      </c>
      <c r="O585">
        <v>83.948999999999998</v>
      </c>
      <c r="P585">
        <v>1.6032</v>
      </c>
      <c r="Q585">
        <v>4.5949054501799418E-2</v>
      </c>
      <c r="R585">
        <v>4.8374514578461572</v>
      </c>
      <c r="S585">
        <v>0</v>
      </c>
      <c r="T585">
        <v>1</v>
      </c>
      <c r="U585" s="2">
        <v>44781</v>
      </c>
      <c r="V585">
        <v>7.0828199863107502</v>
      </c>
    </row>
    <row r="586" spans="2:22" x14ac:dyDescent="0.25">
      <c r="B586" s="1" t="s">
        <v>144</v>
      </c>
      <c r="C586" s="2">
        <v>44025</v>
      </c>
      <c r="D586">
        <v>1.5</v>
      </c>
      <c r="E586">
        <v>0.5</v>
      </c>
      <c r="F586" s="3">
        <v>30</v>
      </c>
      <c r="T586">
        <v>1</v>
      </c>
      <c r="U586" s="2">
        <v>44781</v>
      </c>
      <c r="V586">
        <v>7.0828199863107502</v>
      </c>
    </row>
    <row r="587" spans="2:22" x14ac:dyDescent="0.25">
      <c r="B587" s="1" t="s">
        <v>144</v>
      </c>
      <c r="C587" s="2">
        <v>44781</v>
      </c>
      <c r="D587">
        <v>1.5</v>
      </c>
      <c r="E587">
        <v>0.5</v>
      </c>
      <c r="F587" s="3">
        <v>30</v>
      </c>
      <c r="T587">
        <v>1</v>
      </c>
      <c r="U587" s="2">
        <v>44781</v>
      </c>
      <c r="V587">
        <v>7.0828199863107502</v>
      </c>
    </row>
    <row r="588" spans="2:22" x14ac:dyDescent="0.25">
      <c r="B588" s="1" t="s">
        <v>144</v>
      </c>
      <c r="C588" s="2">
        <v>45161</v>
      </c>
      <c r="D588">
        <v>8</v>
      </c>
      <c r="E588">
        <v>1</v>
      </c>
      <c r="F588" s="3">
        <v>28</v>
      </c>
      <c r="T588">
        <v>1</v>
      </c>
      <c r="U588" s="2">
        <v>44781</v>
      </c>
      <c r="V588">
        <v>7.0828199863107502</v>
      </c>
    </row>
    <row r="589" spans="2:22" x14ac:dyDescent="0.25">
      <c r="B589" s="1" t="s">
        <v>145</v>
      </c>
      <c r="C589" s="2">
        <v>43061</v>
      </c>
      <c r="D589">
        <v>0.5</v>
      </c>
      <c r="E589">
        <v>0.5</v>
      </c>
      <c r="F589" s="3">
        <v>28</v>
      </c>
      <c r="T589">
        <v>1</v>
      </c>
      <c r="U589" s="2">
        <v>44881</v>
      </c>
      <c r="V589">
        <v>6.09993155373032</v>
      </c>
    </row>
    <row r="590" spans="2:22" x14ac:dyDescent="0.25">
      <c r="B590" s="1" t="s">
        <v>145</v>
      </c>
      <c r="C590" s="2">
        <v>43418</v>
      </c>
      <c r="D590">
        <v>0.5</v>
      </c>
      <c r="E590">
        <v>0.5</v>
      </c>
      <c r="F590" s="3">
        <v>29</v>
      </c>
      <c r="T590">
        <v>1</v>
      </c>
      <c r="U590" s="2">
        <v>44881</v>
      </c>
      <c r="V590">
        <v>6.09993155373032</v>
      </c>
    </row>
    <row r="591" spans="2:22" x14ac:dyDescent="0.25">
      <c r="B591" s="1" t="s">
        <v>145</v>
      </c>
      <c r="C591" s="2">
        <v>43782</v>
      </c>
      <c r="D591">
        <v>0.5</v>
      </c>
      <c r="E591">
        <v>0.5</v>
      </c>
      <c r="F591" s="3">
        <v>29</v>
      </c>
      <c r="T591">
        <v>1</v>
      </c>
      <c r="U591" s="2">
        <v>44881</v>
      </c>
      <c r="V591">
        <v>6.09993155373032</v>
      </c>
    </row>
    <row r="592" spans="2:22" x14ac:dyDescent="0.25">
      <c r="B592" s="1" t="s">
        <v>145</v>
      </c>
      <c r="C592" s="2">
        <v>44118</v>
      </c>
      <c r="D592">
        <v>2</v>
      </c>
      <c r="E592">
        <v>0.5</v>
      </c>
      <c r="F592" s="3">
        <v>30</v>
      </c>
      <c r="G592">
        <v>4796.7679763613896</v>
      </c>
      <c r="H592">
        <v>2.11775906287926</v>
      </c>
      <c r="I592">
        <v>13307.1358801516</v>
      </c>
      <c r="J592">
        <v>1.3541711875723601</v>
      </c>
      <c r="K592">
        <v>1292.4159663412599</v>
      </c>
      <c r="L592">
        <v>6.5917437895000694E-2</v>
      </c>
      <c r="M592">
        <v>1159.28103709317</v>
      </c>
      <c r="N592">
        <v>0.78513666101353796</v>
      </c>
      <c r="O592">
        <v>116</v>
      </c>
      <c r="P592">
        <v>5.5066999999999998E-3</v>
      </c>
      <c r="Q592">
        <v>9.7122023700755677E-2</v>
      </c>
      <c r="R592">
        <v>11.14151695121776</v>
      </c>
      <c r="S592">
        <v>0</v>
      </c>
      <c r="T592">
        <v>1</v>
      </c>
      <c r="U592" s="2">
        <v>44881</v>
      </c>
      <c r="V592">
        <v>6.09993155373032</v>
      </c>
    </row>
    <row r="593" spans="2:22" x14ac:dyDescent="0.25">
      <c r="B593" s="1" t="s">
        <v>145</v>
      </c>
      <c r="C593" s="2">
        <v>44496</v>
      </c>
      <c r="F593" s="3">
        <v>29</v>
      </c>
      <c r="T593">
        <v>1</v>
      </c>
      <c r="U593" s="2">
        <v>44881</v>
      </c>
      <c r="V593">
        <v>6.09993155373032</v>
      </c>
    </row>
    <row r="594" spans="2:22" x14ac:dyDescent="0.25">
      <c r="B594" s="1" t="s">
        <v>145</v>
      </c>
      <c r="C594" s="2">
        <v>44881</v>
      </c>
      <c r="F594" s="3">
        <v>29</v>
      </c>
      <c r="T594">
        <v>1</v>
      </c>
      <c r="U594" s="2">
        <v>44881</v>
      </c>
      <c r="V594">
        <v>6.09993155373032</v>
      </c>
    </row>
    <row r="595" spans="2:22" x14ac:dyDescent="0.25">
      <c r="B595" s="1" t="s">
        <v>145</v>
      </c>
      <c r="C595" s="2">
        <v>45210</v>
      </c>
      <c r="F595" s="3">
        <v>29</v>
      </c>
      <c r="T595">
        <v>1</v>
      </c>
      <c r="U595" s="2">
        <v>44881</v>
      </c>
      <c r="V595">
        <v>6.09993155373032</v>
      </c>
    </row>
    <row r="596" spans="2:22" x14ac:dyDescent="0.25">
      <c r="B596" s="1" t="s">
        <v>146</v>
      </c>
      <c r="C596" s="2">
        <v>42474</v>
      </c>
      <c r="D596">
        <v>0</v>
      </c>
      <c r="E596">
        <v>0</v>
      </c>
      <c r="F596" s="3">
        <v>27</v>
      </c>
      <c r="T596">
        <v>1</v>
      </c>
      <c r="U596" s="2">
        <v>45266</v>
      </c>
      <c r="V596">
        <v>8.7173169062286107</v>
      </c>
    </row>
    <row r="597" spans="2:22" x14ac:dyDescent="0.25">
      <c r="B597" s="1" t="s">
        <v>146</v>
      </c>
      <c r="C597" s="2">
        <v>42864</v>
      </c>
      <c r="D597">
        <v>0</v>
      </c>
      <c r="E597">
        <v>0</v>
      </c>
      <c r="F597" s="3">
        <v>30</v>
      </c>
      <c r="G597">
        <v>3203.5554663031498</v>
      </c>
      <c r="H597">
        <v>5.5353506623673401E-2</v>
      </c>
      <c r="I597">
        <v>7218.3396497951298</v>
      </c>
      <c r="J597">
        <v>8.8399256297048208</v>
      </c>
      <c r="K597">
        <v>524.81806561134101</v>
      </c>
      <c r="L597">
        <v>1.37431937027868</v>
      </c>
      <c r="M597">
        <v>224.25353457746399</v>
      </c>
      <c r="N597">
        <v>4.1897599853666598</v>
      </c>
      <c r="O597">
        <v>40.904000000000003</v>
      </c>
      <c r="P597">
        <v>1.351</v>
      </c>
      <c r="Q597">
        <v>7.2706202682806198E-2</v>
      </c>
      <c r="R597">
        <v>12.83048273057258</v>
      </c>
      <c r="S597">
        <v>0</v>
      </c>
      <c r="T597">
        <v>1</v>
      </c>
      <c r="U597" s="2">
        <v>45266</v>
      </c>
      <c r="V597">
        <v>8.7173169062286107</v>
      </c>
    </row>
    <row r="598" spans="2:22" x14ac:dyDescent="0.25">
      <c r="B598" s="1" t="s">
        <v>146</v>
      </c>
      <c r="C598" s="2">
        <v>43272</v>
      </c>
      <c r="D598">
        <v>0</v>
      </c>
      <c r="E598">
        <v>0</v>
      </c>
      <c r="F598" s="3">
        <v>29</v>
      </c>
      <c r="T598">
        <v>1</v>
      </c>
      <c r="U598" s="2">
        <v>45266</v>
      </c>
      <c r="V598">
        <v>8.7173169062286107</v>
      </c>
    </row>
    <row r="599" spans="2:22" x14ac:dyDescent="0.25">
      <c r="B599" s="1" t="s">
        <v>146</v>
      </c>
      <c r="C599" s="2">
        <v>43675</v>
      </c>
      <c r="D599">
        <v>0</v>
      </c>
      <c r="E599">
        <v>0</v>
      </c>
      <c r="F599" s="3">
        <v>30</v>
      </c>
      <c r="G599">
        <v>3451.98942879161</v>
      </c>
      <c r="H599">
        <v>1.08994220920084</v>
      </c>
      <c r="I599">
        <v>8623.6692443871907</v>
      </c>
      <c r="J599">
        <v>1.54406095738541</v>
      </c>
      <c r="K599">
        <v>507.12719170996797</v>
      </c>
      <c r="L599">
        <v>0.84968368318981902</v>
      </c>
      <c r="M599">
        <v>299.19306321778998</v>
      </c>
      <c r="N599">
        <v>2.1475513101135899</v>
      </c>
      <c r="O599">
        <v>50.692</v>
      </c>
      <c r="P599">
        <v>1.2034</v>
      </c>
      <c r="Q599">
        <v>5.8806428834227063E-2</v>
      </c>
      <c r="R599">
        <v>10.00408726643194</v>
      </c>
      <c r="S599">
        <v>0</v>
      </c>
      <c r="T599">
        <v>1</v>
      </c>
      <c r="U599" s="2">
        <v>45266</v>
      </c>
      <c r="V599">
        <v>8.7173169062286107</v>
      </c>
    </row>
    <row r="600" spans="2:22" x14ac:dyDescent="0.25">
      <c r="B600" s="1" t="s">
        <v>146</v>
      </c>
      <c r="C600" s="2">
        <v>44033</v>
      </c>
      <c r="D600">
        <v>0</v>
      </c>
      <c r="E600">
        <v>0</v>
      </c>
      <c r="F600" s="3">
        <v>30</v>
      </c>
      <c r="T600">
        <v>1</v>
      </c>
      <c r="U600" s="2">
        <v>45266</v>
      </c>
      <c r="V600">
        <v>8.7173169062286107</v>
      </c>
    </row>
    <row r="601" spans="2:22" x14ac:dyDescent="0.25">
      <c r="B601" s="1" t="s">
        <v>146</v>
      </c>
      <c r="C601" s="2">
        <v>44445</v>
      </c>
      <c r="D601">
        <v>0</v>
      </c>
      <c r="E601">
        <v>0</v>
      </c>
      <c r="F601" s="3">
        <v>30</v>
      </c>
      <c r="I601">
        <v>9987</v>
      </c>
      <c r="K601">
        <v>399</v>
      </c>
      <c r="M601">
        <v>286</v>
      </c>
      <c r="O601">
        <v>43.7</v>
      </c>
      <c r="Q601">
        <v>3.9951937518774405E-2</v>
      </c>
      <c r="R601">
        <v>9.1304347826086953</v>
      </c>
      <c r="S601">
        <v>1</v>
      </c>
      <c r="T601">
        <v>1</v>
      </c>
      <c r="U601" s="2">
        <v>45266</v>
      </c>
      <c r="V601">
        <v>8.7173169062286107</v>
      </c>
    </row>
    <row r="602" spans="2:22" x14ac:dyDescent="0.25">
      <c r="B602" s="1" t="s">
        <v>146</v>
      </c>
      <c r="C602" s="2">
        <v>44901</v>
      </c>
      <c r="D602">
        <v>0</v>
      </c>
      <c r="E602">
        <v>0</v>
      </c>
      <c r="F602" s="3">
        <v>30</v>
      </c>
      <c r="T602">
        <v>1</v>
      </c>
      <c r="U602" s="2">
        <v>45266</v>
      </c>
      <c r="V602">
        <v>8.7173169062286107</v>
      </c>
    </row>
    <row r="603" spans="2:22" x14ac:dyDescent="0.25">
      <c r="B603" s="1" t="s">
        <v>147</v>
      </c>
      <c r="C603" s="2">
        <v>42601</v>
      </c>
      <c r="D603">
        <v>0</v>
      </c>
      <c r="E603">
        <v>0</v>
      </c>
      <c r="F603" s="3">
        <v>30</v>
      </c>
      <c r="T603">
        <v>1</v>
      </c>
      <c r="U603" s="2">
        <v>42601</v>
      </c>
      <c r="V603">
        <v>0.96372347707049999</v>
      </c>
    </row>
    <row r="604" spans="2:22" x14ac:dyDescent="0.25">
      <c r="B604" s="1" t="s">
        <v>147</v>
      </c>
      <c r="C604" s="2">
        <v>42984</v>
      </c>
      <c r="D604">
        <v>0.5</v>
      </c>
      <c r="E604">
        <v>0.5</v>
      </c>
      <c r="F604" s="3">
        <v>29</v>
      </c>
      <c r="T604">
        <v>1</v>
      </c>
      <c r="U604" s="2">
        <v>42601</v>
      </c>
      <c r="V604">
        <v>0.96372347707049999</v>
      </c>
    </row>
    <row r="605" spans="2:22" x14ac:dyDescent="0.25">
      <c r="B605" s="1" t="s">
        <v>147</v>
      </c>
      <c r="C605" s="2">
        <v>43347</v>
      </c>
      <c r="D605">
        <v>0</v>
      </c>
      <c r="E605">
        <v>0</v>
      </c>
      <c r="F605" s="3">
        <v>28</v>
      </c>
      <c r="T605">
        <v>1</v>
      </c>
      <c r="U605" s="2">
        <v>42601</v>
      </c>
      <c r="V605">
        <v>0.96372347707049999</v>
      </c>
    </row>
    <row r="606" spans="2:22" x14ac:dyDescent="0.25">
      <c r="B606" s="1" t="s">
        <v>147</v>
      </c>
      <c r="C606" s="2">
        <v>43705</v>
      </c>
      <c r="D606">
        <v>0</v>
      </c>
      <c r="E606">
        <v>0</v>
      </c>
      <c r="F606" s="3">
        <v>30</v>
      </c>
      <c r="T606">
        <v>1</v>
      </c>
      <c r="U606" s="2">
        <v>42601</v>
      </c>
      <c r="V606">
        <v>0.96372347707049999</v>
      </c>
    </row>
    <row r="607" spans="2:22" x14ac:dyDescent="0.25">
      <c r="B607" s="1" t="s">
        <v>147</v>
      </c>
      <c r="C607" s="2">
        <v>44102</v>
      </c>
      <c r="D607">
        <v>0</v>
      </c>
      <c r="E607">
        <v>0</v>
      </c>
      <c r="F607" s="3">
        <v>29</v>
      </c>
      <c r="T607">
        <v>1</v>
      </c>
      <c r="U607" s="2">
        <v>42601</v>
      </c>
      <c r="V607">
        <v>0.96372347707049999</v>
      </c>
    </row>
    <row r="608" spans="2:22" x14ac:dyDescent="0.25">
      <c r="B608" s="1" t="s">
        <v>147</v>
      </c>
      <c r="C608" s="2">
        <v>44438</v>
      </c>
      <c r="D608">
        <v>0.5</v>
      </c>
      <c r="E608">
        <v>0.5</v>
      </c>
      <c r="F608" s="3">
        <v>28</v>
      </c>
      <c r="T608">
        <v>1</v>
      </c>
      <c r="U608" s="2">
        <v>42601</v>
      </c>
      <c r="V608">
        <v>0.96372347707049999</v>
      </c>
    </row>
    <row r="609" spans="2:22" x14ac:dyDescent="0.25">
      <c r="B609" s="1" t="s">
        <v>147</v>
      </c>
      <c r="C609" s="2">
        <v>44880</v>
      </c>
      <c r="D609">
        <v>2.5</v>
      </c>
      <c r="E609">
        <v>0.5</v>
      </c>
      <c r="F609" s="3">
        <v>28</v>
      </c>
      <c r="T609">
        <v>1</v>
      </c>
      <c r="U609" s="2">
        <v>42601</v>
      </c>
      <c r="V609">
        <v>0.96372347707049999</v>
      </c>
    </row>
    <row r="610" spans="2:22" x14ac:dyDescent="0.25">
      <c r="B610" s="1" t="s">
        <v>148</v>
      </c>
      <c r="C610" s="2">
        <v>43556</v>
      </c>
      <c r="D610">
        <v>0</v>
      </c>
      <c r="E610">
        <v>0</v>
      </c>
      <c r="F610" s="3">
        <v>29</v>
      </c>
      <c r="T610">
        <v>1</v>
      </c>
      <c r="U610" s="2">
        <v>45394</v>
      </c>
      <c r="V610">
        <v>6.0068446269678297</v>
      </c>
    </row>
    <row r="611" spans="2:22" x14ac:dyDescent="0.25">
      <c r="B611" s="1" t="s">
        <v>148</v>
      </c>
      <c r="C611" s="2">
        <v>43957</v>
      </c>
      <c r="D611">
        <v>0</v>
      </c>
      <c r="E611">
        <v>0</v>
      </c>
      <c r="F611" s="3">
        <v>30</v>
      </c>
      <c r="T611">
        <v>1</v>
      </c>
      <c r="U611" s="2">
        <v>45394</v>
      </c>
      <c r="V611">
        <v>6.0068446269678297</v>
      </c>
    </row>
    <row r="612" spans="2:22" x14ac:dyDescent="0.25">
      <c r="B612" s="1" t="s">
        <v>148</v>
      </c>
      <c r="C612" s="2">
        <v>44312</v>
      </c>
      <c r="D612">
        <v>0</v>
      </c>
      <c r="E612">
        <v>0</v>
      </c>
      <c r="F612" s="3">
        <v>30</v>
      </c>
      <c r="T612">
        <v>1</v>
      </c>
      <c r="U612" s="2">
        <v>45394</v>
      </c>
      <c r="V612">
        <v>6.0068446269678297</v>
      </c>
    </row>
    <row r="613" spans="2:22" x14ac:dyDescent="0.25">
      <c r="B613" s="1" t="s">
        <v>148</v>
      </c>
      <c r="C613" s="2">
        <v>44671</v>
      </c>
      <c r="D613">
        <v>0</v>
      </c>
      <c r="E613">
        <v>0</v>
      </c>
      <c r="F613" s="3">
        <v>28</v>
      </c>
      <c r="T613">
        <v>1</v>
      </c>
      <c r="U613" s="2">
        <v>45394</v>
      </c>
      <c r="V613">
        <v>6.0068446269678297</v>
      </c>
    </row>
    <row r="614" spans="2:22" x14ac:dyDescent="0.25">
      <c r="B614" s="1" t="s">
        <v>148</v>
      </c>
      <c r="C614" s="2">
        <v>45063</v>
      </c>
      <c r="D614">
        <v>0</v>
      </c>
      <c r="E614">
        <v>0</v>
      </c>
      <c r="F614" s="3">
        <v>28</v>
      </c>
      <c r="T614">
        <v>1</v>
      </c>
      <c r="U614" s="2">
        <v>45394</v>
      </c>
      <c r="V614">
        <v>6.0068446269678297</v>
      </c>
    </row>
    <row r="615" spans="2:22" x14ac:dyDescent="0.25">
      <c r="B615" s="1" t="s">
        <v>149</v>
      </c>
      <c r="C615" s="2">
        <v>42418</v>
      </c>
      <c r="D615">
        <v>0.5</v>
      </c>
      <c r="E615">
        <v>0.5</v>
      </c>
      <c r="F615" s="3">
        <v>30</v>
      </c>
      <c r="T615">
        <v>1</v>
      </c>
      <c r="U615" s="2">
        <v>43885</v>
      </c>
      <c r="V615">
        <v>5.0102669404517499</v>
      </c>
    </row>
    <row r="616" spans="2:22" x14ac:dyDescent="0.25">
      <c r="B616" s="1" t="s">
        <v>149</v>
      </c>
      <c r="C616" s="2">
        <v>42786</v>
      </c>
      <c r="D616">
        <v>0.5</v>
      </c>
      <c r="E616">
        <v>0.5</v>
      </c>
      <c r="F616" s="3">
        <v>30</v>
      </c>
      <c r="T616">
        <v>1</v>
      </c>
      <c r="U616" s="2">
        <v>43885</v>
      </c>
      <c r="V616">
        <v>5.0102669404517499</v>
      </c>
    </row>
    <row r="617" spans="2:22" x14ac:dyDescent="0.25">
      <c r="B617" s="1" t="s">
        <v>149</v>
      </c>
      <c r="C617" s="2">
        <v>43157</v>
      </c>
      <c r="D617">
        <v>0</v>
      </c>
      <c r="E617">
        <v>0</v>
      </c>
      <c r="F617" s="3">
        <v>28</v>
      </c>
      <c r="T617">
        <v>1</v>
      </c>
      <c r="U617" s="2">
        <v>43885</v>
      </c>
      <c r="V617">
        <v>5.0102669404517499</v>
      </c>
    </row>
    <row r="618" spans="2:22" x14ac:dyDescent="0.25">
      <c r="B618" s="1" t="s">
        <v>149</v>
      </c>
      <c r="C618" s="2">
        <v>43535</v>
      </c>
      <c r="D618">
        <v>0</v>
      </c>
      <c r="E618">
        <v>0</v>
      </c>
      <c r="F618" s="3">
        <v>30</v>
      </c>
      <c r="T618">
        <v>1</v>
      </c>
      <c r="U618" s="2">
        <v>43885</v>
      </c>
      <c r="V618">
        <v>5.0102669404517499</v>
      </c>
    </row>
    <row r="619" spans="2:22" x14ac:dyDescent="0.25">
      <c r="B619" s="1" t="s">
        <v>149</v>
      </c>
      <c r="C619" s="2">
        <v>43885</v>
      </c>
      <c r="D619">
        <v>0</v>
      </c>
      <c r="E619">
        <v>0</v>
      </c>
      <c r="F619" s="3">
        <v>30</v>
      </c>
      <c r="T619">
        <v>1</v>
      </c>
      <c r="U619" s="2">
        <v>43885</v>
      </c>
      <c r="V619">
        <v>5.0102669404517499</v>
      </c>
    </row>
    <row r="620" spans="2:22" x14ac:dyDescent="0.25">
      <c r="B620" s="1" t="s">
        <v>150</v>
      </c>
      <c r="C620" s="2">
        <v>43286</v>
      </c>
      <c r="D620">
        <v>0.5</v>
      </c>
      <c r="E620">
        <v>0.5</v>
      </c>
      <c r="F620" s="3">
        <v>28</v>
      </c>
      <c r="T620">
        <v>1</v>
      </c>
      <c r="U620" s="2">
        <v>45131</v>
      </c>
      <c r="V620">
        <v>5.9548254620123204</v>
      </c>
    </row>
    <row r="621" spans="2:22" x14ac:dyDescent="0.25">
      <c r="B621" s="1" t="s">
        <v>150</v>
      </c>
      <c r="C621" s="2">
        <v>43703</v>
      </c>
      <c r="D621">
        <v>0</v>
      </c>
      <c r="E621">
        <v>0</v>
      </c>
      <c r="F621" s="3">
        <v>29</v>
      </c>
      <c r="T621">
        <v>1</v>
      </c>
      <c r="U621" s="2">
        <v>45131</v>
      </c>
      <c r="V621">
        <v>5.9548254620123204</v>
      </c>
    </row>
    <row r="622" spans="2:22" x14ac:dyDescent="0.25">
      <c r="B622" s="1" t="s">
        <v>150</v>
      </c>
      <c r="C622" s="2">
        <v>44081</v>
      </c>
      <c r="D622">
        <v>0</v>
      </c>
      <c r="E622">
        <v>0</v>
      </c>
      <c r="F622" s="3">
        <v>29</v>
      </c>
      <c r="T622">
        <v>1</v>
      </c>
      <c r="U622" s="2">
        <v>45131</v>
      </c>
      <c r="V622">
        <v>5.9548254620123204</v>
      </c>
    </row>
    <row r="623" spans="2:22" x14ac:dyDescent="0.25">
      <c r="B623" s="1" t="s">
        <v>150</v>
      </c>
      <c r="C623" s="2">
        <v>44403</v>
      </c>
      <c r="D623">
        <v>0</v>
      </c>
      <c r="E623">
        <v>0</v>
      </c>
      <c r="F623" s="3">
        <v>29</v>
      </c>
      <c r="T623">
        <v>1</v>
      </c>
      <c r="U623" s="2">
        <v>45131</v>
      </c>
      <c r="V623">
        <v>5.9548254620123204</v>
      </c>
    </row>
    <row r="624" spans="2:22" x14ac:dyDescent="0.25">
      <c r="B624" s="1" t="s">
        <v>150</v>
      </c>
      <c r="C624" s="2">
        <v>44774</v>
      </c>
      <c r="D624">
        <v>0</v>
      </c>
      <c r="E624">
        <v>0</v>
      </c>
      <c r="F624" s="3">
        <v>29</v>
      </c>
      <c r="T624">
        <v>1</v>
      </c>
      <c r="U624" s="2">
        <v>45131</v>
      </c>
      <c r="V624">
        <v>5.9548254620123204</v>
      </c>
    </row>
    <row r="625" spans="2:22" x14ac:dyDescent="0.25">
      <c r="B625" s="1" t="s">
        <v>150</v>
      </c>
      <c r="C625" s="2">
        <v>45131</v>
      </c>
      <c r="D625">
        <v>0.5</v>
      </c>
      <c r="E625">
        <v>0.5</v>
      </c>
      <c r="F625" s="3">
        <v>29</v>
      </c>
      <c r="T625">
        <v>1</v>
      </c>
      <c r="U625" s="2">
        <v>45131</v>
      </c>
      <c r="V625">
        <v>5.9548254620123204</v>
      </c>
    </row>
    <row r="626" spans="2:22" x14ac:dyDescent="0.25">
      <c r="B626" s="1" t="s">
        <v>151</v>
      </c>
      <c r="C626" s="2">
        <v>42674</v>
      </c>
      <c r="D626">
        <v>1</v>
      </c>
      <c r="E626">
        <v>0.5</v>
      </c>
      <c r="F626" s="3">
        <v>29</v>
      </c>
      <c r="T626">
        <v>1</v>
      </c>
      <c r="U626" s="2">
        <v>43038</v>
      </c>
      <c r="V626">
        <v>1.95482546201232</v>
      </c>
    </row>
    <row r="627" spans="2:22" x14ac:dyDescent="0.25">
      <c r="B627" s="1" t="s">
        <v>151</v>
      </c>
      <c r="C627" s="2">
        <v>43038</v>
      </c>
      <c r="D627">
        <v>0</v>
      </c>
      <c r="E627">
        <v>0</v>
      </c>
      <c r="F627" s="3">
        <v>29</v>
      </c>
      <c r="G627">
        <v>2762.4678974037602</v>
      </c>
      <c r="H627">
        <v>6.6997086388445499</v>
      </c>
      <c r="I627">
        <v>7032.3639234580596</v>
      </c>
      <c r="J627">
        <v>1.1253949551061899</v>
      </c>
      <c r="K627">
        <v>309.55169213270801</v>
      </c>
      <c r="L627">
        <v>1.4231266069940101</v>
      </c>
      <c r="M627">
        <v>823.59396087962102</v>
      </c>
      <c r="N627">
        <v>0.84434014957134995</v>
      </c>
      <c r="O627">
        <v>120.27</v>
      </c>
      <c r="P627">
        <v>1.9734</v>
      </c>
      <c r="Q627">
        <v>4.401815598594485E-2</v>
      </c>
      <c r="R627">
        <v>2.5738063701064942</v>
      </c>
      <c r="S627">
        <v>0</v>
      </c>
      <c r="T627">
        <v>1</v>
      </c>
      <c r="U627" s="2">
        <v>43038</v>
      </c>
      <c r="V627">
        <v>1.95482546201232</v>
      </c>
    </row>
    <row r="628" spans="2:22" x14ac:dyDescent="0.25">
      <c r="B628" s="1" t="s">
        <v>151</v>
      </c>
      <c r="C628" s="2">
        <v>43416</v>
      </c>
      <c r="D628">
        <v>0</v>
      </c>
      <c r="E628">
        <v>0</v>
      </c>
      <c r="F628" s="3">
        <v>29</v>
      </c>
      <c r="T628">
        <v>1</v>
      </c>
      <c r="U628" s="2">
        <v>43038</v>
      </c>
      <c r="V628">
        <v>1.95482546201232</v>
      </c>
    </row>
    <row r="629" spans="2:22" x14ac:dyDescent="0.25">
      <c r="B629" s="1" t="s">
        <v>152</v>
      </c>
      <c r="C629" s="2">
        <v>43012</v>
      </c>
      <c r="D629">
        <v>0</v>
      </c>
      <c r="E629">
        <v>0</v>
      </c>
      <c r="F629" s="3">
        <v>29</v>
      </c>
      <c r="T629">
        <v>1</v>
      </c>
      <c r="U629" s="2">
        <v>43745</v>
      </c>
      <c r="V629">
        <v>2.9815195071868601</v>
      </c>
    </row>
    <row r="630" spans="2:22" x14ac:dyDescent="0.25">
      <c r="B630" s="1" t="s">
        <v>152</v>
      </c>
      <c r="C630" s="2">
        <v>43367</v>
      </c>
      <c r="D630">
        <v>0</v>
      </c>
      <c r="E630">
        <v>0</v>
      </c>
      <c r="F630" s="3">
        <v>30</v>
      </c>
      <c r="T630">
        <v>1</v>
      </c>
      <c r="U630" s="2">
        <v>43745</v>
      </c>
      <c r="V630">
        <v>2.9815195071868601</v>
      </c>
    </row>
    <row r="631" spans="2:22" x14ac:dyDescent="0.25">
      <c r="B631" s="1" t="s">
        <v>152</v>
      </c>
      <c r="C631" s="2">
        <v>43745</v>
      </c>
      <c r="D631">
        <v>0</v>
      </c>
      <c r="E631">
        <v>0</v>
      </c>
      <c r="F631" s="3">
        <v>30</v>
      </c>
      <c r="T631">
        <v>1</v>
      </c>
      <c r="U631" s="2">
        <v>43745</v>
      </c>
      <c r="V631">
        <v>2.9815195071868601</v>
      </c>
    </row>
    <row r="632" spans="2:22" x14ac:dyDescent="0.25">
      <c r="B632" s="1" t="s">
        <v>152</v>
      </c>
      <c r="C632" s="2">
        <v>44102</v>
      </c>
      <c r="D632">
        <v>0</v>
      </c>
      <c r="E632">
        <v>0</v>
      </c>
      <c r="F632" s="3">
        <v>30</v>
      </c>
      <c r="T632">
        <v>1</v>
      </c>
      <c r="U632" s="2">
        <v>43745</v>
      </c>
      <c r="V632">
        <v>2.9815195071868601</v>
      </c>
    </row>
    <row r="633" spans="2:22" x14ac:dyDescent="0.25">
      <c r="B633" s="1" t="s">
        <v>152</v>
      </c>
      <c r="C633" s="2">
        <v>44480</v>
      </c>
      <c r="D633">
        <v>0</v>
      </c>
      <c r="E633">
        <v>0</v>
      </c>
      <c r="F633" s="3">
        <v>30</v>
      </c>
      <c r="T633">
        <v>1</v>
      </c>
      <c r="U633" s="2">
        <v>43745</v>
      </c>
      <c r="V633">
        <v>2.9815195071868601</v>
      </c>
    </row>
    <row r="634" spans="2:22" x14ac:dyDescent="0.25">
      <c r="B634" s="1" t="s">
        <v>152</v>
      </c>
      <c r="C634" s="2">
        <v>44872</v>
      </c>
      <c r="D634">
        <v>0</v>
      </c>
      <c r="E634">
        <v>0</v>
      </c>
      <c r="F634" s="3">
        <v>30</v>
      </c>
      <c r="T634">
        <v>1</v>
      </c>
      <c r="U634" s="2">
        <v>43745</v>
      </c>
      <c r="V634">
        <v>2.9815195071868601</v>
      </c>
    </row>
    <row r="635" spans="2:22" x14ac:dyDescent="0.25">
      <c r="B635" s="1" t="s">
        <v>152</v>
      </c>
      <c r="C635" s="2">
        <v>45313</v>
      </c>
      <c r="D635">
        <v>0</v>
      </c>
      <c r="E635">
        <v>0</v>
      </c>
      <c r="F635" s="3">
        <v>28</v>
      </c>
      <c r="T635">
        <v>1</v>
      </c>
      <c r="U635" s="2">
        <v>43745</v>
      </c>
      <c r="V635">
        <v>2.9815195071868601</v>
      </c>
    </row>
    <row r="636" spans="2:22" x14ac:dyDescent="0.25">
      <c r="B636" s="1" t="s">
        <v>153</v>
      </c>
      <c r="C636" s="2">
        <v>43416</v>
      </c>
      <c r="D636">
        <v>0</v>
      </c>
      <c r="E636">
        <v>0</v>
      </c>
      <c r="F636" s="3">
        <v>30</v>
      </c>
      <c r="T636">
        <v>1</v>
      </c>
      <c r="U636" s="2">
        <v>43787</v>
      </c>
      <c r="V636">
        <v>2.0123203285420899</v>
      </c>
    </row>
    <row r="637" spans="2:22" x14ac:dyDescent="0.25">
      <c r="B637" s="1" t="s">
        <v>153</v>
      </c>
      <c r="C637" s="2">
        <v>43787</v>
      </c>
      <c r="D637">
        <v>0</v>
      </c>
      <c r="E637">
        <v>0</v>
      </c>
      <c r="F637" s="3">
        <v>28</v>
      </c>
      <c r="T637">
        <v>1</v>
      </c>
      <c r="U637" s="2">
        <v>43787</v>
      </c>
      <c r="V637">
        <v>2.0123203285420899</v>
      </c>
    </row>
    <row r="638" spans="2:22" x14ac:dyDescent="0.25">
      <c r="B638" s="1" t="s">
        <v>153</v>
      </c>
      <c r="C638" s="2">
        <v>44172</v>
      </c>
      <c r="D638">
        <v>0</v>
      </c>
      <c r="E638">
        <v>0</v>
      </c>
      <c r="F638" s="3">
        <v>29</v>
      </c>
      <c r="T638">
        <v>1</v>
      </c>
      <c r="U638" s="2">
        <v>43787</v>
      </c>
      <c r="V638">
        <v>2.0123203285420899</v>
      </c>
    </row>
    <row r="639" spans="2:22" x14ac:dyDescent="0.25">
      <c r="B639" s="1" t="s">
        <v>153</v>
      </c>
      <c r="C639" s="2">
        <v>44480</v>
      </c>
      <c r="D639" t="s">
        <v>31</v>
      </c>
      <c r="E639" t="s">
        <v>31</v>
      </c>
      <c r="F639" s="3">
        <v>30</v>
      </c>
      <c r="T639">
        <v>1</v>
      </c>
      <c r="U639" s="2">
        <v>43787</v>
      </c>
      <c r="V639">
        <v>2.0123203285420899</v>
      </c>
    </row>
    <row r="640" spans="2:22" x14ac:dyDescent="0.25">
      <c r="B640" s="1" t="s">
        <v>153</v>
      </c>
      <c r="C640" s="2">
        <v>44893</v>
      </c>
      <c r="F640" s="3">
        <v>30</v>
      </c>
      <c r="T640">
        <v>1</v>
      </c>
      <c r="U640" s="2">
        <v>43787</v>
      </c>
      <c r="V640">
        <v>2.0123203285420899</v>
      </c>
    </row>
    <row r="641" spans="2:22" x14ac:dyDescent="0.25">
      <c r="B641" s="1" t="s">
        <v>153</v>
      </c>
      <c r="C641" s="2">
        <v>45278</v>
      </c>
      <c r="F641" s="3">
        <v>23</v>
      </c>
      <c r="T641">
        <v>1</v>
      </c>
      <c r="U641" s="2">
        <v>43787</v>
      </c>
      <c r="V641">
        <v>2.0123203285420899</v>
      </c>
    </row>
    <row r="642" spans="2:22" x14ac:dyDescent="0.25">
      <c r="B642" s="1" t="s">
        <v>154</v>
      </c>
      <c r="C642" s="2">
        <v>42403</v>
      </c>
      <c r="D642">
        <v>0</v>
      </c>
      <c r="E642">
        <v>0</v>
      </c>
      <c r="F642" s="3">
        <v>30</v>
      </c>
      <c r="T642">
        <v>1</v>
      </c>
      <c r="U642" s="2">
        <v>43843</v>
      </c>
      <c r="V642">
        <v>4.9965776865160896</v>
      </c>
    </row>
    <row r="643" spans="2:22" x14ac:dyDescent="0.25">
      <c r="B643" s="1" t="s">
        <v>154</v>
      </c>
      <c r="C643" s="2">
        <v>42761</v>
      </c>
      <c r="D643">
        <v>0</v>
      </c>
      <c r="E643">
        <v>0</v>
      </c>
      <c r="F643" s="3">
        <v>29</v>
      </c>
      <c r="T643">
        <v>1</v>
      </c>
      <c r="U643" s="2">
        <v>43843</v>
      </c>
      <c r="V643">
        <v>4.9965776865160896</v>
      </c>
    </row>
    <row r="644" spans="2:22" x14ac:dyDescent="0.25">
      <c r="B644" s="1" t="s">
        <v>154</v>
      </c>
      <c r="C644" s="2">
        <v>43109</v>
      </c>
      <c r="D644">
        <v>0</v>
      </c>
      <c r="E644">
        <v>0</v>
      </c>
      <c r="F644" s="3">
        <v>29</v>
      </c>
      <c r="T644">
        <v>1</v>
      </c>
      <c r="U644" s="2">
        <v>43843</v>
      </c>
      <c r="V644">
        <v>4.9965776865160896</v>
      </c>
    </row>
    <row r="645" spans="2:22" x14ac:dyDescent="0.25">
      <c r="B645" s="1" t="s">
        <v>154</v>
      </c>
      <c r="C645" s="2">
        <v>43486</v>
      </c>
      <c r="D645">
        <v>0</v>
      </c>
      <c r="E645">
        <v>0</v>
      </c>
      <c r="F645" s="3">
        <v>28</v>
      </c>
      <c r="T645">
        <v>1</v>
      </c>
      <c r="U645" s="2">
        <v>43843</v>
      </c>
      <c r="V645">
        <v>4.9965776865160896</v>
      </c>
    </row>
    <row r="646" spans="2:22" x14ac:dyDescent="0.25">
      <c r="B646" s="1" t="s">
        <v>154</v>
      </c>
      <c r="C646" s="2">
        <v>43843</v>
      </c>
      <c r="D646">
        <v>0</v>
      </c>
      <c r="E646">
        <v>0</v>
      </c>
      <c r="F646" s="3">
        <v>28</v>
      </c>
      <c r="T646">
        <v>1</v>
      </c>
      <c r="U646" s="2">
        <v>43843</v>
      </c>
      <c r="V646">
        <v>4.9965776865160896</v>
      </c>
    </row>
    <row r="647" spans="2:22" x14ac:dyDescent="0.25">
      <c r="B647" s="1" t="s">
        <v>155</v>
      </c>
      <c r="C647" s="2">
        <v>42226</v>
      </c>
      <c r="D647">
        <v>0</v>
      </c>
      <c r="E647">
        <v>0</v>
      </c>
      <c r="F647" s="3">
        <v>30</v>
      </c>
      <c r="T647">
        <v>1</v>
      </c>
      <c r="U647" s="2">
        <v>45142</v>
      </c>
      <c r="V647">
        <v>9.02943189596167</v>
      </c>
    </row>
    <row r="648" spans="2:22" x14ac:dyDescent="0.25">
      <c r="B648" s="1" t="s">
        <v>155</v>
      </c>
      <c r="C648" s="2">
        <v>42579</v>
      </c>
      <c r="D648">
        <v>0</v>
      </c>
      <c r="E648">
        <v>0</v>
      </c>
      <c r="F648" s="3">
        <v>29</v>
      </c>
      <c r="G648">
        <v>2974.6917798499398</v>
      </c>
      <c r="H648">
        <v>8.8680445177504801</v>
      </c>
      <c r="I648">
        <v>8022.8457012312501</v>
      </c>
      <c r="J648">
        <v>4.2510194382514701</v>
      </c>
      <c r="K648">
        <v>878.06919572710899</v>
      </c>
      <c r="L648">
        <v>1.41719084841302</v>
      </c>
      <c r="M648">
        <v>174.75495212970901</v>
      </c>
      <c r="N648">
        <v>7.1129702253487599</v>
      </c>
      <c r="O648">
        <v>35.71</v>
      </c>
      <c r="P648">
        <v>2.7707999999999999</v>
      </c>
      <c r="Q648">
        <v>0.1094461028450732</v>
      </c>
      <c r="R648">
        <v>24.588888146936679</v>
      </c>
      <c r="S648">
        <v>0</v>
      </c>
      <c r="T648">
        <v>1</v>
      </c>
      <c r="U648" s="2">
        <v>45142</v>
      </c>
      <c r="V648">
        <v>9.02943189596167</v>
      </c>
    </row>
    <row r="649" spans="2:22" x14ac:dyDescent="0.25">
      <c r="B649" s="1" t="s">
        <v>155</v>
      </c>
      <c r="C649" s="2">
        <v>42935</v>
      </c>
      <c r="D649">
        <v>0</v>
      </c>
      <c r="E649">
        <v>0</v>
      </c>
      <c r="F649" s="3">
        <v>29</v>
      </c>
      <c r="T649">
        <v>1</v>
      </c>
      <c r="U649" s="2">
        <v>45142</v>
      </c>
      <c r="V649">
        <v>9.02943189596167</v>
      </c>
    </row>
    <row r="650" spans="2:22" x14ac:dyDescent="0.25">
      <c r="B650" s="1" t="s">
        <v>155</v>
      </c>
      <c r="C650" s="2">
        <v>43329</v>
      </c>
      <c r="D650">
        <v>0</v>
      </c>
      <c r="E650">
        <v>0</v>
      </c>
      <c r="F650" s="3">
        <v>30</v>
      </c>
      <c r="G650">
        <v>3549.5334619658802</v>
      </c>
      <c r="H650">
        <v>4.1553415377457901</v>
      </c>
      <c r="I650">
        <v>8789.5449257533201</v>
      </c>
      <c r="J650">
        <v>2.1259450277321501</v>
      </c>
      <c r="K650">
        <v>1012.61165658485</v>
      </c>
      <c r="L650">
        <v>0.70825748689662404</v>
      </c>
      <c r="M650">
        <v>204.61835866467101</v>
      </c>
      <c r="N650">
        <v>2.4460398235233201</v>
      </c>
      <c r="O650">
        <v>39.341999999999999</v>
      </c>
      <c r="P650">
        <v>1.4428000000000001</v>
      </c>
      <c r="Q650">
        <v>0.1152063804370467</v>
      </c>
      <c r="R650">
        <v>25.738692913040769</v>
      </c>
      <c r="S650">
        <v>0</v>
      </c>
      <c r="T650">
        <v>1</v>
      </c>
      <c r="U650" s="2">
        <v>45142</v>
      </c>
      <c r="V650">
        <v>9.02943189596167</v>
      </c>
    </row>
    <row r="651" spans="2:22" x14ac:dyDescent="0.25">
      <c r="B651" s="1" t="s">
        <v>155</v>
      </c>
      <c r="C651" s="2">
        <v>43685</v>
      </c>
      <c r="D651">
        <v>0</v>
      </c>
      <c r="E651">
        <v>0</v>
      </c>
      <c r="F651" s="3">
        <v>30</v>
      </c>
      <c r="T651">
        <v>1</v>
      </c>
      <c r="U651" s="2">
        <v>45142</v>
      </c>
      <c r="V651">
        <v>9.02943189596167</v>
      </c>
    </row>
    <row r="652" spans="2:22" x14ac:dyDescent="0.25">
      <c r="B652" s="1" t="s">
        <v>155</v>
      </c>
      <c r="C652" s="2">
        <v>44096</v>
      </c>
      <c r="D652">
        <v>0</v>
      </c>
      <c r="E652">
        <v>0</v>
      </c>
      <c r="F652" s="3">
        <v>30</v>
      </c>
      <c r="T652">
        <v>1</v>
      </c>
      <c r="U652" s="2">
        <v>45142</v>
      </c>
      <c r="V652">
        <v>9.02943189596167</v>
      </c>
    </row>
    <row r="653" spans="2:22" x14ac:dyDescent="0.25">
      <c r="B653" s="1" t="s">
        <v>155</v>
      </c>
      <c r="C653" s="2">
        <v>44463</v>
      </c>
      <c r="D653">
        <v>0</v>
      </c>
      <c r="E653">
        <v>0</v>
      </c>
      <c r="F653" s="3">
        <v>30</v>
      </c>
      <c r="T653">
        <v>1</v>
      </c>
      <c r="U653" s="2">
        <v>45142</v>
      </c>
      <c r="V653">
        <v>9.02943189596167</v>
      </c>
    </row>
    <row r="654" spans="2:22" x14ac:dyDescent="0.25">
      <c r="B654" s="1" t="s">
        <v>155</v>
      </c>
      <c r="C654" s="2">
        <v>45142</v>
      </c>
      <c r="D654">
        <v>0.5</v>
      </c>
      <c r="E654">
        <v>0</v>
      </c>
      <c r="F654" s="3">
        <v>30</v>
      </c>
      <c r="T654">
        <v>1</v>
      </c>
      <c r="U654" s="2">
        <v>45142</v>
      </c>
      <c r="V654">
        <v>9.02943189596167</v>
      </c>
    </row>
    <row r="655" spans="2:22" x14ac:dyDescent="0.25">
      <c r="B655" s="1" t="s">
        <v>156</v>
      </c>
      <c r="C655" s="2">
        <v>42964</v>
      </c>
      <c r="D655">
        <v>0</v>
      </c>
      <c r="E655">
        <v>0</v>
      </c>
      <c r="F655" s="3">
        <v>30</v>
      </c>
      <c r="T655">
        <v>1</v>
      </c>
      <c r="U655" s="2">
        <v>42964</v>
      </c>
      <c r="V655">
        <v>1.00479123887748</v>
      </c>
    </row>
    <row r="656" spans="2:22" x14ac:dyDescent="0.25">
      <c r="B656" s="1" t="s">
        <v>156</v>
      </c>
      <c r="C656" s="2">
        <v>43332</v>
      </c>
      <c r="D656">
        <v>0</v>
      </c>
      <c r="E656">
        <v>0</v>
      </c>
      <c r="F656" s="3">
        <v>30</v>
      </c>
      <c r="T656">
        <v>1</v>
      </c>
      <c r="U656" s="2">
        <v>42964</v>
      </c>
      <c r="V656">
        <v>1.00479123887748</v>
      </c>
    </row>
    <row r="657" spans="2:22" x14ac:dyDescent="0.25">
      <c r="B657" s="1" t="s">
        <v>156</v>
      </c>
      <c r="C657" s="2">
        <v>43734</v>
      </c>
      <c r="D657">
        <v>0</v>
      </c>
      <c r="E657">
        <v>0</v>
      </c>
      <c r="F657" s="3">
        <v>29</v>
      </c>
      <c r="T657">
        <v>1</v>
      </c>
      <c r="U657" s="2">
        <v>42964</v>
      </c>
      <c r="V657">
        <v>1.00479123887748</v>
      </c>
    </row>
    <row r="658" spans="2:22" x14ac:dyDescent="0.25">
      <c r="B658" s="1" t="s">
        <v>157</v>
      </c>
      <c r="C658" s="2">
        <v>43682</v>
      </c>
      <c r="D658">
        <v>0</v>
      </c>
      <c r="E658">
        <v>0</v>
      </c>
      <c r="F658" s="3">
        <v>30</v>
      </c>
      <c r="T658">
        <v>1</v>
      </c>
      <c r="U658" s="2">
        <v>44977</v>
      </c>
      <c r="V658">
        <v>4.5420944558521601</v>
      </c>
    </row>
    <row r="659" spans="2:22" x14ac:dyDescent="0.25">
      <c r="B659" s="1" t="s">
        <v>157</v>
      </c>
      <c r="C659" s="2">
        <v>44091</v>
      </c>
      <c r="D659">
        <v>0</v>
      </c>
      <c r="E659">
        <v>0</v>
      </c>
      <c r="F659" s="3">
        <v>30</v>
      </c>
      <c r="G659">
        <v>2995.9930974496801</v>
      </c>
      <c r="H659">
        <v>0.89771113826285998</v>
      </c>
      <c r="I659">
        <v>8865.9167792676508</v>
      </c>
      <c r="J659">
        <v>4.0770157595791003</v>
      </c>
      <c r="K659">
        <v>993.60990975072798</v>
      </c>
      <c r="L659">
        <v>2.0287866164677499</v>
      </c>
      <c r="O659">
        <v>1.0269999999999999</v>
      </c>
      <c r="P659">
        <v>28.283999999999999</v>
      </c>
      <c r="Q659">
        <v>0.1120707462621596</v>
      </c>
      <c r="R659">
        <v>967.48774075046549</v>
      </c>
      <c r="S659">
        <v>0</v>
      </c>
      <c r="T659">
        <v>1</v>
      </c>
      <c r="U659" s="2">
        <v>44977</v>
      </c>
      <c r="V659">
        <v>4.5420944558521601</v>
      </c>
    </row>
    <row r="660" spans="2:22" x14ac:dyDescent="0.25">
      <c r="B660" s="1" t="s">
        <v>157</v>
      </c>
      <c r="C660" s="2">
        <v>44456</v>
      </c>
      <c r="D660">
        <v>0</v>
      </c>
      <c r="E660">
        <v>0</v>
      </c>
      <c r="F660" s="3">
        <v>29</v>
      </c>
      <c r="T660">
        <v>1</v>
      </c>
      <c r="U660" s="2">
        <v>44977</v>
      </c>
      <c r="V660">
        <v>4.5420944558521601</v>
      </c>
    </row>
    <row r="661" spans="2:22" x14ac:dyDescent="0.25">
      <c r="B661" s="1" t="s">
        <v>157</v>
      </c>
      <c r="C661" s="2">
        <v>44977</v>
      </c>
      <c r="D661">
        <v>0</v>
      </c>
      <c r="E661">
        <v>0</v>
      </c>
      <c r="F661" s="3">
        <v>30</v>
      </c>
      <c r="T661">
        <v>1</v>
      </c>
      <c r="U661" s="2">
        <v>44977</v>
      </c>
      <c r="V661">
        <v>4.5420944558521601</v>
      </c>
    </row>
    <row r="662" spans="2:22" x14ac:dyDescent="0.25">
      <c r="B662" s="1" t="s">
        <v>158</v>
      </c>
      <c r="C662" s="2">
        <v>42527</v>
      </c>
      <c r="D662">
        <v>0</v>
      </c>
      <c r="E662">
        <v>0</v>
      </c>
      <c r="F662" s="3">
        <v>30</v>
      </c>
      <c r="T662">
        <v>1</v>
      </c>
      <c r="U662" s="2">
        <v>42872</v>
      </c>
      <c r="V662">
        <v>2.0506502395619401</v>
      </c>
    </row>
    <row r="663" spans="2:22" x14ac:dyDescent="0.25">
      <c r="B663" s="1" t="s">
        <v>158</v>
      </c>
      <c r="C663" s="2">
        <v>42872</v>
      </c>
      <c r="D663">
        <v>0</v>
      </c>
      <c r="E663">
        <v>0</v>
      </c>
      <c r="F663" s="3">
        <v>30</v>
      </c>
      <c r="T663">
        <v>1</v>
      </c>
      <c r="U663" s="2">
        <v>42872</v>
      </c>
      <c r="V663">
        <v>2.0506502395619401</v>
      </c>
    </row>
    <row r="664" spans="2:22" x14ac:dyDescent="0.25">
      <c r="B664" s="1" t="s">
        <v>158</v>
      </c>
      <c r="C664" s="2">
        <v>43216</v>
      </c>
      <c r="D664">
        <v>0</v>
      </c>
      <c r="E664">
        <v>0</v>
      </c>
      <c r="F664" s="3">
        <v>29</v>
      </c>
      <c r="T664">
        <v>1</v>
      </c>
      <c r="U664" s="2">
        <v>42872</v>
      </c>
      <c r="V664">
        <v>2.0506502395619401</v>
      </c>
    </row>
    <row r="665" spans="2:22" x14ac:dyDescent="0.25">
      <c r="B665" s="1" t="s">
        <v>158</v>
      </c>
      <c r="C665" s="2">
        <v>44067</v>
      </c>
      <c r="D665">
        <v>2.5</v>
      </c>
      <c r="E665">
        <v>0.5</v>
      </c>
      <c r="F665" s="3">
        <v>29</v>
      </c>
      <c r="T665">
        <v>1</v>
      </c>
      <c r="U665" s="2">
        <v>42872</v>
      </c>
      <c r="V665">
        <v>2.0506502395619401</v>
      </c>
    </row>
    <row r="666" spans="2:22" x14ac:dyDescent="0.25">
      <c r="B666" s="1" t="s">
        <v>159</v>
      </c>
      <c r="C666" s="2">
        <v>42458</v>
      </c>
      <c r="D666">
        <v>0</v>
      </c>
      <c r="E666">
        <v>0</v>
      </c>
      <c r="F666" s="3">
        <v>30</v>
      </c>
      <c r="T666">
        <v>1</v>
      </c>
      <c r="U666" s="2">
        <v>42458</v>
      </c>
      <c r="V666">
        <v>0.95824777549623497</v>
      </c>
    </row>
    <row r="667" spans="2:22" x14ac:dyDescent="0.25">
      <c r="B667" s="1" t="s">
        <v>159</v>
      </c>
      <c r="C667" s="2">
        <v>42852</v>
      </c>
      <c r="D667">
        <v>1.5</v>
      </c>
      <c r="E667">
        <v>0.5</v>
      </c>
      <c r="F667" s="3">
        <v>30</v>
      </c>
      <c r="T667">
        <v>1</v>
      </c>
      <c r="U667" s="2">
        <v>42458</v>
      </c>
      <c r="V667">
        <v>0.95824777549623497</v>
      </c>
    </row>
    <row r="668" spans="2:22" x14ac:dyDescent="0.25">
      <c r="B668" s="1" t="s">
        <v>159</v>
      </c>
      <c r="C668" s="2">
        <v>43234</v>
      </c>
      <c r="D668">
        <v>1</v>
      </c>
      <c r="E668">
        <v>0.5</v>
      </c>
      <c r="F668" s="3">
        <v>29</v>
      </c>
      <c r="T668">
        <v>1</v>
      </c>
      <c r="U668" s="2">
        <v>42458</v>
      </c>
      <c r="V668">
        <v>0.95824777549623497</v>
      </c>
    </row>
    <row r="669" spans="2:22" x14ac:dyDescent="0.25">
      <c r="B669" s="1" t="s">
        <v>159</v>
      </c>
      <c r="C669" s="2">
        <v>43580</v>
      </c>
      <c r="D669">
        <v>1</v>
      </c>
      <c r="E669">
        <v>0.5</v>
      </c>
      <c r="F669" s="3">
        <v>26</v>
      </c>
      <c r="T669">
        <v>1</v>
      </c>
      <c r="U669" s="2">
        <v>42458</v>
      </c>
      <c r="V669">
        <v>0.95824777549623497</v>
      </c>
    </row>
    <row r="670" spans="2:22" x14ac:dyDescent="0.25">
      <c r="B670" s="1" t="s">
        <v>159</v>
      </c>
      <c r="C670" s="2">
        <v>44343</v>
      </c>
      <c r="D670">
        <v>0</v>
      </c>
      <c r="E670">
        <v>0</v>
      </c>
      <c r="F670" s="3">
        <v>30</v>
      </c>
      <c r="T670">
        <v>1</v>
      </c>
      <c r="U670" s="2">
        <v>42458</v>
      </c>
      <c r="V670">
        <v>0.95824777549623497</v>
      </c>
    </row>
    <row r="671" spans="2:22" x14ac:dyDescent="0.25">
      <c r="B671" s="1" t="s">
        <v>160</v>
      </c>
      <c r="C671" s="2">
        <v>42530</v>
      </c>
      <c r="D671">
        <v>0.5</v>
      </c>
      <c r="E671">
        <v>0.5</v>
      </c>
      <c r="F671" s="3">
        <v>27</v>
      </c>
      <c r="G671">
        <v>5450.5072876993099</v>
      </c>
      <c r="H671">
        <v>2.70616049360126</v>
      </c>
      <c r="I671">
        <v>12877.2077673289</v>
      </c>
      <c r="J671">
        <v>1.73454016684833</v>
      </c>
      <c r="K671">
        <v>606.29803065645797</v>
      </c>
      <c r="L671">
        <v>7.1940117829965802E-2</v>
      </c>
      <c r="M671">
        <v>587.35354490359396</v>
      </c>
      <c r="N671">
        <v>4.5155602759387197</v>
      </c>
      <c r="O671">
        <v>101.17</v>
      </c>
      <c r="Q671">
        <v>4.7083035516031081E-2</v>
      </c>
      <c r="R671">
        <v>5.9928638001033701</v>
      </c>
      <c r="S671">
        <v>0</v>
      </c>
      <c r="T671">
        <v>1</v>
      </c>
      <c r="U671" s="2">
        <v>44739</v>
      </c>
      <c r="V671">
        <v>7.03080082135524</v>
      </c>
    </row>
    <row r="672" spans="2:22" x14ac:dyDescent="0.25">
      <c r="B672" s="1" t="s">
        <v>160</v>
      </c>
      <c r="C672" s="2">
        <v>42914</v>
      </c>
      <c r="D672">
        <v>1</v>
      </c>
      <c r="E672">
        <v>0.5</v>
      </c>
      <c r="F672" s="3">
        <v>26</v>
      </c>
      <c r="T672">
        <v>1</v>
      </c>
      <c r="U672" s="2">
        <v>44739</v>
      </c>
      <c r="V672">
        <v>7.03080082135524</v>
      </c>
    </row>
    <row r="673" spans="2:22" x14ac:dyDescent="0.25">
      <c r="B673" s="1" t="s">
        <v>160</v>
      </c>
      <c r="C673" s="2">
        <v>43269</v>
      </c>
      <c r="D673">
        <v>0.5</v>
      </c>
      <c r="E673">
        <v>0.5</v>
      </c>
      <c r="F673" s="3">
        <v>27</v>
      </c>
      <c r="G673">
        <v>6309.4639885365596</v>
      </c>
      <c r="H673">
        <v>2.11932034337093</v>
      </c>
      <c r="I673">
        <v>13778.0955993756</v>
      </c>
      <c r="J673">
        <v>4.30075791442734</v>
      </c>
      <c r="K673">
        <v>633.89349849481198</v>
      </c>
      <c r="L673">
        <v>2.2645446089071299</v>
      </c>
      <c r="M673">
        <v>621.59636223327402</v>
      </c>
      <c r="N673">
        <v>2.7949330172432401</v>
      </c>
      <c r="O673">
        <v>105.22</v>
      </c>
      <c r="P673">
        <v>1.3807</v>
      </c>
      <c r="Q673">
        <v>4.600733780099036E-2</v>
      </c>
      <c r="R673">
        <v>6.0244582635887856</v>
      </c>
      <c r="S673">
        <v>0</v>
      </c>
      <c r="T673">
        <v>1</v>
      </c>
      <c r="U673" s="2">
        <v>44739</v>
      </c>
      <c r="V673">
        <v>7.03080082135524</v>
      </c>
    </row>
    <row r="674" spans="2:22" x14ac:dyDescent="0.25">
      <c r="B674" s="1" t="s">
        <v>160</v>
      </c>
      <c r="C674" s="2">
        <v>43620</v>
      </c>
      <c r="D674">
        <v>1</v>
      </c>
      <c r="E674">
        <v>0.5</v>
      </c>
      <c r="F674" s="3">
        <v>26</v>
      </c>
      <c r="T674">
        <v>1</v>
      </c>
      <c r="U674" s="2">
        <v>44739</v>
      </c>
      <c r="V674">
        <v>7.03080082135524</v>
      </c>
    </row>
    <row r="675" spans="2:22" x14ac:dyDescent="0.25">
      <c r="B675" s="1" t="s">
        <v>160</v>
      </c>
      <c r="C675" s="2">
        <v>44033</v>
      </c>
      <c r="D675">
        <v>0.5</v>
      </c>
      <c r="E675">
        <v>0.5</v>
      </c>
      <c r="F675" s="3">
        <v>27</v>
      </c>
      <c r="T675">
        <v>1</v>
      </c>
      <c r="U675" s="2">
        <v>44739</v>
      </c>
      <c r="V675">
        <v>7.03080082135524</v>
      </c>
    </row>
    <row r="676" spans="2:22" x14ac:dyDescent="0.25">
      <c r="B676" s="1" t="s">
        <v>160</v>
      </c>
      <c r="C676" s="2">
        <v>44351</v>
      </c>
      <c r="D676">
        <v>1</v>
      </c>
      <c r="E676">
        <v>0.5</v>
      </c>
      <c r="F676" s="3">
        <v>27</v>
      </c>
      <c r="T676">
        <v>1</v>
      </c>
      <c r="U676" s="2">
        <v>44739</v>
      </c>
      <c r="V676">
        <v>7.03080082135524</v>
      </c>
    </row>
    <row r="677" spans="2:22" x14ac:dyDescent="0.25">
      <c r="B677" s="1" t="s">
        <v>160</v>
      </c>
      <c r="C677" s="2">
        <v>44739</v>
      </c>
      <c r="D677">
        <v>5</v>
      </c>
      <c r="E677">
        <v>1</v>
      </c>
      <c r="F677" s="3">
        <v>26</v>
      </c>
      <c r="T677">
        <v>1</v>
      </c>
      <c r="U677" s="2">
        <v>44739</v>
      </c>
      <c r="V677">
        <v>7.03080082135524</v>
      </c>
    </row>
    <row r="678" spans="2:22" x14ac:dyDescent="0.25">
      <c r="B678" s="1" t="s">
        <v>160</v>
      </c>
      <c r="C678" s="2">
        <v>45086</v>
      </c>
      <c r="D678">
        <v>3.5</v>
      </c>
      <c r="E678">
        <v>0.5</v>
      </c>
      <c r="F678" s="3">
        <v>28</v>
      </c>
      <c r="T678">
        <v>1</v>
      </c>
      <c r="U678" s="2">
        <v>44739</v>
      </c>
      <c r="V678">
        <v>7.03080082135524</v>
      </c>
    </row>
    <row r="679" spans="2:22" x14ac:dyDescent="0.25">
      <c r="B679" s="1" t="s">
        <v>161</v>
      </c>
      <c r="C679" s="2">
        <v>43689</v>
      </c>
      <c r="D679">
        <v>0.5</v>
      </c>
      <c r="E679">
        <v>0.5</v>
      </c>
      <c r="F679" s="3">
        <v>29</v>
      </c>
      <c r="T679">
        <v>1</v>
      </c>
      <c r="U679" s="2">
        <v>45195</v>
      </c>
      <c r="V679">
        <v>5.0951403148528396</v>
      </c>
    </row>
    <row r="680" spans="2:22" x14ac:dyDescent="0.25">
      <c r="B680" s="1" t="s">
        <v>161</v>
      </c>
      <c r="C680" s="2">
        <v>44092</v>
      </c>
      <c r="D680">
        <v>0.5</v>
      </c>
      <c r="E680">
        <v>0.5</v>
      </c>
      <c r="F680" s="3">
        <v>27</v>
      </c>
      <c r="T680">
        <v>1</v>
      </c>
      <c r="U680" s="2">
        <v>45195</v>
      </c>
      <c r="V680">
        <v>5.0951403148528396</v>
      </c>
    </row>
    <row r="681" spans="2:22" x14ac:dyDescent="0.25">
      <c r="B681" s="1" t="s">
        <v>161</v>
      </c>
      <c r="C681" s="2">
        <v>44448</v>
      </c>
      <c r="D681">
        <v>3.5</v>
      </c>
      <c r="E681">
        <v>0.5</v>
      </c>
      <c r="F681" s="3">
        <v>28</v>
      </c>
      <c r="T681">
        <v>1</v>
      </c>
      <c r="U681" s="2">
        <v>45195</v>
      </c>
      <c r="V681">
        <v>5.0951403148528396</v>
      </c>
    </row>
    <row r="682" spans="2:22" x14ac:dyDescent="0.25">
      <c r="B682" s="1" t="s">
        <v>161</v>
      </c>
      <c r="C682" s="2">
        <v>44820</v>
      </c>
      <c r="D682">
        <v>0.5</v>
      </c>
      <c r="E682">
        <v>0.5</v>
      </c>
      <c r="F682" s="3">
        <v>27</v>
      </c>
      <c r="T682">
        <v>1</v>
      </c>
      <c r="U682" s="2">
        <v>45195</v>
      </c>
      <c r="V682">
        <v>5.0951403148528396</v>
      </c>
    </row>
    <row r="683" spans="2:22" x14ac:dyDescent="0.25">
      <c r="B683" s="1" t="s">
        <v>161</v>
      </c>
      <c r="C683" s="2">
        <v>45195</v>
      </c>
      <c r="D683">
        <v>6.5</v>
      </c>
      <c r="E683">
        <v>1</v>
      </c>
      <c r="F683" s="3">
        <v>27</v>
      </c>
      <c r="T683">
        <v>1</v>
      </c>
      <c r="U683" s="2">
        <v>45195</v>
      </c>
      <c r="V683">
        <v>5.0951403148528396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DCD23-CD7C-4CDF-8C89-C27D6D18711F}">
  <dimension ref="A1:W683"/>
  <sheetViews>
    <sheetView tabSelected="1" workbookViewId="0">
      <selection activeCell="F8" sqref="F8"/>
    </sheetView>
  </sheetViews>
  <sheetFormatPr baseColWidth="10" defaultRowHeight="15" x14ac:dyDescent="0.25"/>
  <sheetData>
    <row r="1" spans="1:23" x14ac:dyDescent="0.25">
      <c r="A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3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5" t="s">
        <v>18</v>
      </c>
      <c r="T1" s="1" t="s">
        <v>19</v>
      </c>
      <c r="U1" s="1" t="s">
        <v>20</v>
      </c>
      <c r="V1" s="1" t="s">
        <v>21</v>
      </c>
      <c r="W1" s="7" t="s">
        <v>162</v>
      </c>
    </row>
    <row r="2" spans="1:23" x14ac:dyDescent="0.25">
      <c r="B2" s="1" t="s">
        <v>71</v>
      </c>
      <c r="C2" s="2">
        <v>42969</v>
      </c>
      <c r="D2">
        <v>4.5</v>
      </c>
      <c r="E2">
        <v>1</v>
      </c>
      <c r="F2" s="3">
        <v>26</v>
      </c>
      <c r="T2">
        <v>1</v>
      </c>
      <c r="U2" s="2">
        <v>42969</v>
      </c>
      <c r="V2">
        <v>1.0376454483230699</v>
      </c>
      <c r="W2" s="6">
        <f>(U2-C2)/365</f>
        <v>0</v>
      </c>
    </row>
    <row r="3" spans="1:23" x14ac:dyDescent="0.25">
      <c r="B3" s="1" t="s">
        <v>160</v>
      </c>
      <c r="C3" s="2">
        <v>44739</v>
      </c>
      <c r="D3">
        <v>5</v>
      </c>
      <c r="E3">
        <v>1</v>
      </c>
      <c r="F3" s="3">
        <v>26</v>
      </c>
      <c r="T3">
        <v>1</v>
      </c>
      <c r="U3" s="2">
        <v>44739</v>
      </c>
      <c r="V3">
        <v>7.03080082135524</v>
      </c>
      <c r="W3" s="6">
        <f>(U3-C3)/365</f>
        <v>0</v>
      </c>
    </row>
    <row r="4" spans="1:23" x14ac:dyDescent="0.25">
      <c r="B4" s="1" t="s">
        <v>161</v>
      </c>
      <c r="C4" s="2">
        <v>45195</v>
      </c>
      <c r="D4">
        <v>6.5</v>
      </c>
      <c r="E4">
        <v>1</v>
      </c>
      <c r="F4" s="3">
        <v>27</v>
      </c>
      <c r="T4">
        <v>1</v>
      </c>
      <c r="U4" s="2">
        <v>45195</v>
      </c>
      <c r="V4">
        <v>5.0951403148528396</v>
      </c>
      <c r="W4" s="6">
        <f>(U4-C4)/365</f>
        <v>0</v>
      </c>
    </row>
    <row r="5" spans="1:23" x14ac:dyDescent="0.25">
      <c r="B5" s="1" t="s">
        <v>40</v>
      </c>
      <c r="C5" s="2">
        <v>43171</v>
      </c>
      <c r="D5">
        <v>6</v>
      </c>
      <c r="E5">
        <v>1</v>
      </c>
      <c r="F5" s="3">
        <v>29</v>
      </c>
      <c r="T5">
        <v>1</v>
      </c>
      <c r="U5" s="2">
        <v>43171</v>
      </c>
      <c r="V5">
        <v>2.8884325804243698</v>
      </c>
      <c r="W5" s="6">
        <f>(U5-C5)/365</f>
        <v>0</v>
      </c>
    </row>
    <row r="6" spans="1:23" x14ac:dyDescent="0.25">
      <c r="B6" s="1" t="s">
        <v>57</v>
      </c>
      <c r="C6" s="2">
        <v>45169</v>
      </c>
      <c r="D6">
        <v>5.5</v>
      </c>
      <c r="E6">
        <v>1</v>
      </c>
      <c r="F6" s="3">
        <v>30</v>
      </c>
      <c r="T6">
        <v>1</v>
      </c>
      <c r="U6" s="2">
        <v>45169</v>
      </c>
      <c r="V6">
        <v>5.0978781656399699</v>
      </c>
      <c r="W6" s="6">
        <f>(U6-C6)/365</f>
        <v>0</v>
      </c>
    </row>
    <row r="7" spans="1:23" x14ac:dyDescent="0.25">
      <c r="B7" s="1" t="s">
        <v>24</v>
      </c>
      <c r="C7" s="2">
        <v>43451</v>
      </c>
      <c r="D7">
        <v>2.5</v>
      </c>
      <c r="E7">
        <v>0.5</v>
      </c>
      <c r="F7" s="3">
        <v>26</v>
      </c>
      <c r="T7">
        <v>1</v>
      </c>
      <c r="U7" s="2">
        <v>43451</v>
      </c>
      <c r="V7">
        <v>1.0321697467488</v>
      </c>
      <c r="W7" s="6">
        <f>(U7-C7)/365</f>
        <v>0</v>
      </c>
    </row>
    <row r="8" spans="1:23" x14ac:dyDescent="0.25">
      <c r="B8" s="1" t="s">
        <v>37</v>
      </c>
      <c r="C8" s="2">
        <v>44397</v>
      </c>
      <c r="D8">
        <v>2.5</v>
      </c>
      <c r="E8">
        <v>0.5</v>
      </c>
      <c r="F8" s="3">
        <v>26</v>
      </c>
      <c r="T8">
        <v>1</v>
      </c>
      <c r="U8" s="2">
        <v>44397</v>
      </c>
      <c r="V8">
        <v>5.9958932238192997</v>
      </c>
      <c r="W8" s="6">
        <f>(U8-C8)/365</f>
        <v>0</v>
      </c>
    </row>
    <row r="9" spans="1:23" x14ac:dyDescent="0.25">
      <c r="B9" s="1" t="s">
        <v>66</v>
      </c>
      <c r="C9" s="2">
        <v>43486</v>
      </c>
      <c r="D9">
        <v>1</v>
      </c>
      <c r="E9">
        <v>0.5</v>
      </c>
      <c r="F9" s="3">
        <v>26</v>
      </c>
      <c r="T9">
        <v>1</v>
      </c>
      <c r="U9" s="2">
        <v>43486</v>
      </c>
      <c r="V9">
        <v>2.25872689938398</v>
      </c>
      <c r="W9" s="6">
        <f>(U9-C9)/365</f>
        <v>0</v>
      </c>
    </row>
    <row r="10" spans="1:23" x14ac:dyDescent="0.25">
      <c r="B10" s="1" t="s">
        <v>127</v>
      </c>
      <c r="C10" s="2">
        <v>43222</v>
      </c>
      <c r="D10">
        <v>2.5</v>
      </c>
      <c r="E10">
        <v>0.5</v>
      </c>
      <c r="F10" s="3">
        <v>26</v>
      </c>
      <c r="T10">
        <v>1</v>
      </c>
      <c r="U10" s="2">
        <v>43222</v>
      </c>
      <c r="V10">
        <v>2.0068446269678302</v>
      </c>
      <c r="W10" s="6">
        <f>(U10-C10)/365</f>
        <v>0</v>
      </c>
    </row>
    <row r="11" spans="1:23" x14ac:dyDescent="0.25">
      <c r="B11" s="1" t="s">
        <v>41</v>
      </c>
      <c r="C11" s="2">
        <v>44069</v>
      </c>
      <c r="D11">
        <v>3</v>
      </c>
      <c r="E11">
        <v>0.5</v>
      </c>
      <c r="F11" s="3">
        <v>27</v>
      </c>
      <c r="G11">
        <v>4084.1625652877001</v>
      </c>
      <c r="H11">
        <v>3.5352654979964901</v>
      </c>
      <c r="I11">
        <v>9287.49626165886</v>
      </c>
      <c r="J11">
        <v>1.94404822053925</v>
      </c>
      <c r="K11" s="8">
        <v>421.927919901672</v>
      </c>
      <c r="L11">
        <v>0.78477098637544596</v>
      </c>
      <c r="M11" s="8">
        <v>765.86079737981697</v>
      </c>
      <c r="N11">
        <v>1.5532387627380799</v>
      </c>
      <c r="O11" s="8">
        <v>96.156999999999996</v>
      </c>
      <c r="P11">
        <v>0.22506000000000001</v>
      </c>
      <c r="Q11" s="8">
        <v>4.5429673187971822E-2</v>
      </c>
      <c r="R11" s="8">
        <v>4.3879064436460373</v>
      </c>
      <c r="S11">
        <v>0</v>
      </c>
      <c r="T11">
        <v>1</v>
      </c>
      <c r="U11" s="2">
        <v>44069</v>
      </c>
      <c r="V11">
        <v>1.9958932238192999</v>
      </c>
      <c r="W11" s="6">
        <f>(U11-C11)/365</f>
        <v>0</v>
      </c>
    </row>
    <row r="12" spans="1:23" x14ac:dyDescent="0.25">
      <c r="B12" s="1" t="s">
        <v>54</v>
      </c>
      <c r="C12" s="2">
        <v>42807</v>
      </c>
      <c r="D12">
        <v>1.5</v>
      </c>
      <c r="E12">
        <v>0.5</v>
      </c>
      <c r="F12" s="3">
        <v>27</v>
      </c>
      <c r="G12">
        <v>2137.6856107443</v>
      </c>
      <c r="H12">
        <v>3.9303212510688899</v>
      </c>
      <c r="I12">
        <v>6064.7733572192501</v>
      </c>
      <c r="J12">
        <v>2.8963856303238198</v>
      </c>
      <c r="K12" s="8">
        <v>341.88943676708197</v>
      </c>
      <c r="L12">
        <v>4.62385518275698</v>
      </c>
      <c r="M12">
        <v>424.58272897797502</v>
      </c>
      <c r="N12">
        <v>1.39144325215942</v>
      </c>
      <c r="O12">
        <v>62.707999999999998</v>
      </c>
      <c r="P12">
        <v>4.3422000000000001</v>
      </c>
      <c r="Q12" s="8">
        <v>5.6372994773186573E-2</v>
      </c>
      <c r="R12" s="8">
        <v>5.4520864445857304</v>
      </c>
      <c r="S12">
        <v>0</v>
      </c>
      <c r="T12">
        <v>1</v>
      </c>
      <c r="U12" s="2">
        <v>42807</v>
      </c>
      <c r="V12">
        <v>2.0123203285420899</v>
      </c>
      <c r="W12" s="6">
        <f>(U12-C12)/365</f>
        <v>0</v>
      </c>
    </row>
    <row r="13" spans="1:23" x14ac:dyDescent="0.25">
      <c r="B13" s="1" t="s">
        <v>34</v>
      </c>
      <c r="C13" s="2">
        <v>42676</v>
      </c>
      <c r="D13">
        <v>2.5</v>
      </c>
      <c r="E13">
        <v>0.5</v>
      </c>
      <c r="F13" s="3">
        <v>27</v>
      </c>
      <c r="T13">
        <v>1</v>
      </c>
      <c r="U13" s="2">
        <v>42676</v>
      </c>
      <c r="V13">
        <v>1.1143052703627701</v>
      </c>
      <c r="W13" s="6">
        <f>(U13-C13)/365</f>
        <v>0</v>
      </c>
    </row>
    <row r="14" spans="1:23" x14ac:dyDescent="0.25">
      <c r="B14" s="1" t="s">
        <v>43</v>
      </c>
      <c r="C14" s="2">
        <v>44284</v>
      </c>
      <c r="D14">
        <v>0.5</v>
      </c>
      <c r="E14">
        <v>0.5</v>
      </c>
      <c r="F14" s="3">
        <v>27</v>
      </c>
      <c r="T14">
        <v>1</v>
      </c>
      <c r="U14" s="2">
        <v>44284</v>
      </c>
      <c r="V14">
        <v>3.0034223134839202</v>
      </c>
      <c r="W14" s="6">
        <f>(U14-C14)/365</f>
        <v>0</v>
      </c>
    </row>
    <row r="15" spans="1:23" x14ac:dyDescent="0.25">
      <c r="B15" s="1" t="s">
        <v>52</v>
      </c>
      <c r="C15" s="2">
        <v>42499</v>
      </c>
      <c r="D15">
        <v>3.5</v>
      </c>
      <c r="E15">
        <v>0.5</v>
      </c>
      <c r="F15" s="3">
        <v>27</v>
      </c>
      <c r="T15">
        <v>1</v>
      </c>
      <c r="U15" s="2">
        <v>42499</v>
      </c>
      <c r="V15">
        <v>1.0102669404517499</v>
      </c>
      <c r="W15" s="6">
        <f>(U15-C15)/365</f>
        <v>0</v>
      </c>
    </row>
    <row r="16" spans="1:23" x14ac:dyDescent="0.25">
      <c r="B16" s="1" t="s">
        <v>59</v>
      </c>
      <c r="C16" s="2">
        <v>43563</v>
      </c>
      <c r="D16">
        <v>2.5</v>
      </c>
      <c r="E16">
        <v>0.5</v>
      </c>
      <c r="F16" s="3">
        <v>27</v>
      </c>
      <c r="T16">
        <v>1</v>
      </c>
      <c r="U16" s="2">
        <v>43563</v>
      </c>
      <c r="V16">
        <v>1.0266940451745401</v>
      </c>
      <c r="W16" s="6">
        <f>(U16-C16)/365</f>
        <v>0</v>
      </c>
    </row>
    <row r="17" spans="2:23" x14ac:dyDescent="0.25">
      <c r="B17" s="1" t="s">
        <v>62</v>
      </c>
      <c r="C17" s="2">
        <v>43682</v>
      </c>
      <c r="D17">
        <v>3</v>
      </c>
      <c r="E17">
        <v>0.5</v>
      </c>
      <c r="F17" s="3">
        <v>27</v>
      </c>
      <c r="T17">
        <v>1</v>
      </c>
      <c r="U17" s="2">
        <v>43682</v>
      </c>
      <c r="V17">
        <v>2.0506502395619401</v>
      </c>
      <c r="W17" s="6">
        <f>(U17-C17)/365</f>
        <v>0</v>
      </c>
    </row>
    <row r="18" spans="2:23" x14ac:dyDescent="0.25">
      <c r="B18" s="1" t="s">
        <v>98</v>
      </c>
      <c r="C18" s="2">
        <v>44083</v>
      </c>
      <c r="D18">
        <v>0.5</v>
      </c>
      <c r="E18">
        <v>0.5</v>
      </c>
      <c r="F18" s="3">
        <v>27</v>
      </c>
      <c r="T18">
        <v>1</v>
      </c>
      <c r="U18" s="2">
        <v>44083</v>
      </c>
      <c r="V18">
        <v>2.2012320328542101</v>
      </c>
      <c r="W18" s="6">
        <f>(U18-C18)/365</f>
        <v>0</v>
      </c>
    </row>
    <row r="19" spans="2:23" x14ac:dyDescent="0.25">
      <c r="B19" s="1" t="s">
        <v>104</v>
      </c>
      <c r="C19" s="2">
        <v>44582</v>
      </c>
      <c r="D19">
        <v>1</v>
      </c>
      <c r="E19">
        <v>0.5</v>
      </c>
      <c r="F19" s="3">
        <v>27</v>
      </c>
      <c r="T19">
        <v>1</v>
      </c>
      <c r="U19" s="2">
        <v>44582</v>
      </c>
      <c r="V19">
        <v>5.2183436002737897</v>
      </c>
      <c r="W19" s="6">
        <f>(U19-C19)/365</f>
        <v>0</v>
      </c>
    </row>
    <row r="20" spans="2:23" x14ac:dyDescent="0.25">
      <c r="B20" s="1" t="s">
        <v>105</v>
      </c>
      <c r="C20" s="2">
        <v>44466</v>
      </c>
      <c r="D20">
        <v>0.5</v>
      </c>
      <c r="E20">
        <v>0.5</v>
      </c>
      <c r="F20" s="3">
        <v>27</v>
      </c>
      <c r="T20">
        <v>1</v>
      </c>
      <c r="U20" s="2">
        <v>44466</v>
      </c>
      <c r="V20">
        <v>5.9876796714579097</v>
      </c>
      <c r="W20" s="6">
        <f>(U20-C20)/365</f>
        <v>0</v>
      </c>
    </row>
    <row r="21" spans="2:23" x14ac:dyDescent="0.25">
      <c r="B21" s="1" t="s">
        <v>111</v>
      </c>
      <c r="C21" s="2">
        <v>44004</v>
      </c>
      <c r="D21">
        <v>1</v>
      </c>
      <c r="E21">
        <v>0.5</v>
      </c>
      <c r="F21" s="3">
        <v>27</v>
      </c>
      <c r="T21">
        <v>1</v>
      </c>
      <c r="U21" s="2">
        <v>44004</v>
      </c>
      <c r="V21">
        <v>3.0034223134839202</v>
      </c>
      <c r="W21" s="6">
        <f>(U21-C21)/365</f>
        <v>0</v>
      </c>
    </row>
    <row r="22" spans="2:23" x14ac:dyDescent="0.25">
      <c r="B22" s="1" t="s">
        <v>118</v>
      </c>
      <c r="C22" s="2">
        <v>43643</v>
      </c>
      <c r="D22">
        <v>0.5</v>
      </c>
      <c r="E22">
        <v>0.5</v>
      </c>
      <c r="F22" s="3">
        <v>27</v>
      </c>
      <c r="T22">
        <v>1</v>
      </c>
      <c r="U22" s="2">
        <v>43643</v>
      </c>
      <c r="V22">
        <v>4.0492813141683799</v>
      </c>
      <c r="W22" s="6">
        <f>(U22-C22)/365</f>
        <v>0</v>
      </c>
    </row>
    <row r="23" spans="2:23" x14ac:dyDescent="0.25">
      <c r="B23" s="1" t="s">
        <v>119</v>
      </c>
      <c r="C23" s="2">
        <v>44823</v>
      </c>
      <c r="D23">
        <v>1</v>
      </c>
      <c r="E23">
        <v>0.5</v>
      </c>
      <c r="F23" s="3">
        <v>27</v>
      </c>
      <c r="T23">
        <v>1</v>
      </c>
      <c r="U23" s="2">
        <v>44823</v>
      </c>
      <c r="V23">
        <v>7.0088980150581799</v>
      </c>
      <c r="W23" s="6">
        <f>(U23-C23)/365</f>
        <v>0</v>
      </c>
    </row>
    <row r="24" spans="2:23" x14ac:dyDescent="0.25">
      <c r="B24" s="1" t="s">
        <v>130</v>
      </c>
      <c r="C24" s="2">
        <v>43026</v>
      </c>
      <c r="D24">
        <v>0.5</v>
      </c>
      <c r="E24">
        <v>0.5</v>
      </c>
      <c r="F24" s="3">
        <v>27</v>
      </c>
      <c r="T24">
        <v>1</v>
      </c>
      <c r="U24" s="2">
        <v>43026</v>
      </c>
      <c r="V24">
        <v>2.8993839835728998</v>
      </c>
      <c r="W24" s="6">
        <f>(U24-C24)/365</f>
        <v>0</v>
      </c>
    </row>
    <row r="25" spans="2:23" x14ac:dyDescent="0.25">
      <c r="B25" s="1" t="s">
        <v>142</v>
      </c>
      <c r="C25" s="2">
        <v>42515</v>
      </c>
      <c r="D25">
        <v>4</v>
      </c>
      <c r="E25">
        <v>0.5</v>
      </c>
      <c r="F25" s="3">
        <v>27</v>
      </c>
      <c r="T25">
        <v>1</v>
      </c>
      <c r="U25" s="2">
        <v>42515</v>
      </c>
      <c r="V25">
        <v>1.28405201916496</v>
      </c>
      <c r="W25" s="6">
        <f>(U25-C25)/365</f>
        <v>0</v>
      </c>
    </row>
    <row r="26" spans="2:23" x14ac:dyDescent="0.25">
      <c r="B26" s="1" t="s">
        <v>33</v>
      </c>
      <c r="C26" s="2">
        <v>43304</v>
      </c>
      <c r="D26">
        <v>2</v>
      </c>
      <c r="E26">
        <v>0.5</v>
      </c>
      <c r="F26" s="3">
        <v>28</v>
      </c>
      <c r="T26">
        <v>1</v>
      </c>
      <c r="U26" s="2">
        <v>43304</v>
      </c>
      <c r="V26">
        <v>1.06776180698152</v>
      </c>
      <c r="W26" s="6">
        <f>(U26-C26)/365</f>
        <v>0</v>
      </c>
    </row>
    <row r="27" spans="2:23" x14ac:dyDescent="0.25">
      <c r="B27" s="1" t="s">
        <v>38</v>
      </c>
      <c r="C27" s="2">
        <v>44084</v>
      </c>
      <c r="D27">
        <v>0.5</v>
      </c>
      <c r="E27">
        <v>0.5</v>
      </c>
      <c r="F27" s="3">
        <v>28</v>
      </c>
      <c r="T27">
        <v>1</v>
      </c>
      <c r="U27" s="2">
        <v>44084</v>
      </c>
      <c r="V27">
        <v>2.47501711156742</v>
      </c>
      <c r="W27" s="6">
        <f>(U27-C27)/365</f>
        <v>0</v>
      </c>
    </row>
    <row r="28" spans="2:23" x14ac:dyDescent="0.25">
      <c r="B28" s="1" t="s">
        <v>47</v>
      </c>
      <c r="C28" s="2">
        <v>45175</v>
      </c>
      <c r="D28">
        <v>1</v>
      </c>
      <c r="E28">
        <v>0.5</v>
      </c>
      <c r="F28" s="3">
        <v>28</v>
      </c>
      <c r="T28">
        <v>1</v>
      </c>
      <c r="U28" s="2">
        <v>45175</v>
      </c>
      <c r="V28">
        <v>5.0787132101300498</v>
      </c>
      <c r="W28" s="6">
        <f>(U28-C28)/365</f>
        <v>0</v>
      </c>
    </row>
    <row r="29" spans="2:23" x14ac:dyDescent="0.25">
      <c r="B29" s="1" t="s">
        <v>49</v>
      </c>
      <c r="C29" s="2">
        <v>42943</v>
      </c>
      <c r="D29">
        <v>0.5</v>
      </c>
      <c r="E29">
        <v>0.5</v>
      </c>
      <c r="F29" s="3">
        <v>28</v>
      </c>
      <c r="T29">
        <v>1</v>
      </c>
      <c r="U29" s="2">
        <v>42943</v>
      </c>
      <c r="V29">
        <v>0.96098562628336803</v>
      </c>
      <c r="W29" s="6">
        <f>(U29-C29)/365</f>
        <v>0</v>
      </c>
    </row>
    <row r="30" spans="2:23" x14ac:dyDescent="0.25">
      <c r="B30" s="1" t="s">
        <v>91</v>
      </c>
      <c r="C30" s="2">
        <v>44490</v>
      </c>
      <c r="D30">
        <v>1</v>
      </c>
      <c r="E30">
        <v>0.5</v>
      </c>
      <c r="F30" s="3">
        <v>28</v>
      </c>
      <c r="T30">
        <v>1</v>
      </c>
      <c r="U30" s="2">
        <v>44490</v>
      </c>
      <c r="V30">
        <v>4.1067761806981498</v>
      </c>
      <c r="W30" s="6">
        <f>(U30-C30)/365</f>
        <v>0</v>
      </c>
    </row>
    <row r="31" spans="2:23" x14ac:dyDescent="0.25">
      <c r="B31" s="1" t="s">
        <v>95</v>
      </c>
      <c r="C31" s="2">
        <v>42619</v>
      </c>
      <c r="D31">
        <v>0.5</v>
      </c>
      <c r="E31">
        <v>0.5</v>
      </c>
      <c r="F31" s="3">
        <v>28</v>
      </c>
      <c r="T31">
        <v>1</v>
      </c>
      <c r="U31" s="2">
        <v>42619</v>
      </c>
      <c r="V31">
        <v>1.3607118412046499</v>
      </c>
      <c r="W31" s="6">
        <f>(U31-C31)/365</f>
        <v>0</v>
      </c>
    </row>
    <row r="32" spans="2:23" x14ac:dyDescent="0.25">
      <c r="B32" s="1" t="s">
        <v>115</v>
      </c>
      <c r="C32" s="2">
        <v>43843</v>
      </c>
      <c r="D32">
        <v>0.5</v>
      </c>
      <c r="E32">
        <v>0.5</v>
      </c>
      <c r="F32" s="3">
        <v>28</v>
      </c>
      <c r="T32">
        <v>1</v>
      </c>
      <c r="U32" s="2">
        <v>43843</v>
      </c>
      <c r="V32">
        <v>4.0164271047227897</v>
      </c>
      <c r="W32" s="6">
        <f>(U32-C32)/365</f>
        <v>0</v>
      </c>
    </row>
    <row r="33" spans="2:23" x14ac:dyDescent="0.25">
      <c r="B33" s="1" t="s">
        <v>133</v>
      </c>
      <c r="C33" s="2">
        <v>42450</v>
      </c>
      <c r="D33">
        <v>2.5</v>
      </c>
      <c r="E33">
        <v>0.5</v>
      </c>
      <c r="F33" s="3">
        <v>28</v>
      </c>
      <c r="T33">
        <v>1</v>
      </c>
      <c r="U33" s="2">
        <v>42450</v>
      </c>
      <c r="V33">
        <v>0.99657768651608503</v>
      </c>
      <c r="W33" s="6">
        <f>(U33-C33)/365</f>
        <v>0</v>
      </c>
    </row>
    <row r="34" spans="2:23" x14ac:dyDescent="0.25">
      <c r="B34" s="1" t="s">
        <v>136</v>
      </c>
      <c r="C34" s="2">
        <v>43656</v>
      </c>
      <c r="D34">
        <v>1</v>
      </c>
      <c r="E34">
        <v>0.5</v>
      </c>
      <c r="F34" s="3">
        <v>28</v>
      </c>
      <c r="T34">
        <v>1</v>
      </c>
      <c r="U34" s="2">
        <v>43656</v>
      </c>
      <c r="V34">
        <v>1.14989733059548</v>
      </c>
      <c r="W34" s="6">
        <f>(U34-C34)/365</f>
        <v>0</v>
      </c>
    </row>
    <row r="35" spans="2:23" x14ac:dyDescent="0.25">
      <c r="B35" s="1" t="s">
        <v>143</v>
      </c>
      <c r="C35" s="2">
        <v>43691</v>
      </c>
      <c r="D35">
        <v>1.5</v>
      </c>
      <c r="E35">
        <v>0.5</v>
      </c>
      <c r="F35" s="3">
        <v>28</v>
      </c>
      <c r="T35">
        <v>1</v>
      </c>
      <c r="U35" s="2">
        <v>43691</v>
      </c>
      <c r="V35">
        <v>0.95824777549623497</v>
      </c>
      <c r="W35" s="6">
        <f>(U35-C35)/365</f>
        <v>0</v>
      </c>
    </row>
    <row r="36" spans="2:23" x14ac:dyDescent="0.25">
      <c r="B36" s="1" t="s">
        <v>27</v>
      </c>
      <c r="C36" s="2">
        <v>43165</v>
      </c>
      <c r="D36">
        <v>2</v>
      </c>
      <c r="E36">
        <v>0.5</v>
      </c>
      <c r="F36" s="3">
        <v>29</v>
      </c>
      <c r="G36">
        <v>4421.8819069336796</v>
      </c>
      <c r="H36">
        <v>2.1132806881255899</v>
      </c>
      <c r="I36">
        <v>10113.4756757982</v>
      </c>
      <c r="J36">
        <v>4.2980314833342996</v>
      </c>
      <c r="K36">
        <v>655.74544035695305</v>
      </c>
      <c r="L36">
        <v>1.30496472798651</v>
      </c>
      <c r="M36" s="8">
        <v>637.35152900909702</v>
      </c>
      <c r="N36">
        <v>10.553511148755</v>
      </c>
      <c r="O36" s="8">
        <v>122.38</v>
      </c>
      <c r="P36">
        <v>1.7981</v>
      </c>
      <c r="Q36" s="8">
        <v>6.483878157992394E-2</v>
      </c>
      <c r="R36" s="8">
        <v>5.3582729233285917</v>
      </c>
      <c r="S36">
        <v>0</v>
      </c>
      <c r="T36">
        <v>1</v>
      </c>
      <c r="U36" s="2">
        <v>43165</v>
      </c>
      <c r="V36">
        <v>2.9349760438056101</v>
      </c>
      <c r="W36" s="6">
        <f>(U36-C36)/365</f>
        <v>0</v>
      </c>
    </row>
    <row r="37" spans="2:23" x14ac:dyDescent="0.25">
      <c r="B37" s="1" t="s">
        <v>113</v>
      </c>
      <c r="C37" s="2">
        <v>42912</v>
      </c>
      <c r="D37">
        <v>1.5</v>
      </c>
      <c r="E37">
        <v>0.5</v>
      </c>
      <c r="F37" s="3">
        <v>29</v>
      </c>
      <c r="G37">
        <v>2295.7884658662401</v>
      </c>
      <c r="H37">
        <v>0.535652058739713</v>
      </c>
      <c r="I37">
        <v>5918.5940806234703</v>
      </c>
      <c r="J37">
        <v>1.4839936388300901</v>
      </c>
      <c r="K37" s="8">
        <v>345.455843498158</v>
      </c>
      <c r="L37">
        <v>0.80335441968139698</v>
      </c>
      <c r="M37">
        <v>495.21344167217501</v>
      </c>
      <c r="N37">
        <v>1.2091220987175899</v>
      </c>
      <c r="O37">
        <v>62.209000000000003</v>
      </c>
      <c r="P37">
        <v>1.4991000000000001</v>
      </c>
      <c r="Q37" s="8">
        <v>5.8367889196713978E-2</v>
      </c>
      <c r="R37" s="8">
        <v>5.5531489575167257</v>
      </c>
      <c r="S37">
        <v>0</v>
      </c>
      <c r="T37">
        <v>1</v>
      </c>
      <c r="U37" s="2">
        <v>42912</v>
      </c>
      <c r="V37">
        <v>1.1060917180013701</v>
      </c>
      <c r="W37" s="6">
        <f>(U37-C37)/365</f>
        <v>0</v>
      </c>
    </row>
    <row r="38" spans="2:23" x14ac:dyDescent="0.25">
      <c r="B38" s="1" t="s">
        <v>81</v>
      </c>
      <c r="C38" s="2">
        <v>43285</v>
      </c>
      <c r="D38">
        <v>3</v>
      </c>
      <c r="E38">
        <v>0.5</v>
      </c>
      <c r="F38" s="3">
        <v>29</v>
      </c>
      <c r="G38">
        <v>4795.7448452232302</v>
      </c>
      <c r="H38">
        <v>2.8238969775593401</v>
      </c>
      <c r="I38">
        <v>12294.4910322383</v>
      </c>
      <c r="J38">
        <v>4.90728631717728</v>
      </c>
      <c r="K38">
        <v>717.28204306432895</v>
      </c>
      <c r="L38">
        <v>4.7836458195384299</v>
      </c>
      <c r="M38">
        <v>477.10491059688002</v>
      </c>
      <c r="N38">
        <v>3.4032625806398999</v>
      </c>
      <c r="O38" s="8">
        <v>104.95</v>
      </c>
      <c r="Q38" s="8">
        <v>5.834174356494224E-2</v>
      </c>
      <c r="R38" s="8">
        <v>6.8345120825567314</v>
      </c>
      <c r="S38">
        <v>0</v>
      </c>
      <c r="T38">
        <v>1</v>
      </c>
      <c r="U38" s="2">
        <v>43285</v>
      </c>
      <c r="V38">
        <v>1.04859685147159</v>
      </c>
      <c r="W38" s="6">
        <f>(U38-C38)/365</f>
        <v>0</v>
      </c>
    </row>
    <row r="39" spans="2:23" x14ac:dyDescent="0.25">
      <c r="B39" s="1" t="s">
        <v>32</v>
      </c>
      <c r="C39" s="2">
        <v>43663</v>
      </c>
      <c r="D39">
        <v>1</v>
      </c>
      <c r="E39">
        <v>0.5</v>
      </c>
      <c r="F39" s="3">
        <v>29</v>
      </c>
      <c r="T39">
        <v>1</v>
      </c>
      <c r="U39" s="2">
        <v>43663</v>
      </c>
      <c r="V39">
        <v>0.991101984941821</v>
      </c>
      <c r="W39" s="6">
        <f>(U39-C39)/365</f>
        <v>0</v>
      </c>
    </row>
    <row r="40" spans="2:23" x14ac:dyDescent="0.25">
      <c r="B40" s="1" t="s">
        <v>46</v>
      </c>
      <c r="C40" s="2">
        <v>43588</v>
      </c>
      <c r="D40">
        <v>0.5</v>
      </c>
      <c r="E40">
        <v>0.5</v>
      </c>
      <c r="F40" s="3">
        <v>29</v>
      </c>
      <c r="T40">
        <v>1</v>
      </c>
      <c r="U40" s="2">
        <v>43588</v>
      </c>
      <c r="V40">
        <v>3.4223134839151301</v>
      </c>
      <c r="W40" s="6">
        <f>(U40-C40)/365</f>
        <v>0</v>
      </c>
    </row>
    <row r="41" spans="2:23" x14ac:dyDescent="0.25">
      <c r="B41" s="1" t="s">
        <v>53</v>
      </c>
      <c r="C41" s="2">
        <v>43775</v>
      </c>
      <c r="D41">
        <v>1.5</v>
      </c>
      <c r="E41">
        <v>0.5</v>
      </c>
      <c r="F41" s="3">
        <v>29</v>
      </c>
      <c r="T41">
        <v>1</v>
      </c>
      <c r="U41" s="2">
        <v>43775</v>
      </c>
      <c r="V41">
        <v>4.2409308692676202</v>
      </c>
      <c r="W41" s="6">
        <f>(U41-C41)/365</f>
        <v>0</v>
      </c>
    </row>
    <row r="42" spans="2:23" x14ac:dyDescent="0.25">
      <c r="B42" s="1" t="s">
        <v>60</v>
      </c>
      <c r="C42" s="2">
        <v>43598</v>
      </c>
      <c r="D42">
        <v>1</v>
      </c>
      <c r="E42">
        <v>0.5</v>
      </c>
      <c r="F42" s="3">
        <v>29</v>
      </c>
      <c r="T42">
        <v>1</v>
      </c>
      <c r="U42" s="2">
        <v>43598</v>
      </c>
      <c r="V42">
        <v>1.0157426420260101</v>
      </c>
      <c r="W42" s="6">
        <f>(U42-C42)/365</f>
        <v>0</v>
      </c>
    </row>
    <row r="43" spans="2:23" x14ac:dyDescent="0.25">
      <c r="B43" s="1" t="s">
        <v>67</v>
      </c>
      <c r="C43" s="2">
        <v>44466</v>
      </c>
      <c r="D43">
        <v>0.5</v>
      </c>
      <c r="E43">
        <v>0.5</v>
      </c>
      <c r="F43" s="3">
        <v>29</v>
      </c>
      <c r="T43">
        <v>1</v>
      </c>
      <c r="U43" s="2">
        <v>44466</v>
      </c>
      <c r="V43">
        <v>4.0547570157426396</v>
      </c>
      <c r="W43" s="6">
        <f>(U43-C43)/365</f>
        <v>0</v>
      </c>
    </row>
    <row r="44" spans="2:23" x14ac:dyDescent="0.25">
      <c r="B44" s="1" t="s">
        <v>75</v>
      </c>
      <c r="C44" s="2">
        <v>44361</v>
      </c>
      <c r="D44">
        <v>2</v>
      </c>
      <c r="E44">
        <v>0.5</v>
      </c>
      <c r="F44" s="3">
        <v>29</v>
      </c>
      <c r="T44">
        <v>1</v>
      </c>
      <c r="U44" s="2">
        <v>44361</v>
      </c>
      <c r="V44">
        <v>5.99863107460643</v>
      </c>
      <c r="W44" s="6">
        <f>(U44-C44)/365</f>
        <v>0</v>
      </c>
    </row>
    <row r="45" spans="2:23" x14ac:dyDescent="0.25">
      <c r="B45" s="1" t="s">
        <v>88</v>
      </c>
      <c r="C45" s="2">
        <v>42325</v>
      </c>
      <c r="D45">
        <v>1</v>
      </c>
      <c r="E45">
        <v>0.5</v>
      </c>
      <c r="F45" s="3">
        <v>29</v>
      </c>
      <c r="T45">
        <v>1</v>
      </c>
      <c r="U45" s="2">
        <v>42325</v>
      </c>
      <c r="V45">
        <v>1.05133470225873</v>
      </c>
      <c r="W45" s="6">
        <f>(U45-C45)/365</f>
        <v>0</v>
      </c>
    </row>
    <row r="46" spans="2:23" x14ac:dyDescent="0.25">
      <c r="B46" s="1" t="s">
        <v>97</v>
      </c>
      <c r="C46" s="2">
        <v>43334</v>
      </c>
      <c r="D46">
        <v>1.5</v>
      </c>
      <c r="E46">
        <v>0.5</v>
      </c>
      <c r="F46" s="3">
        <v>29</v>
      </c>
      <c r="T46">
        <v>1</v>
      </c>
      <c r="U46" s="2">
        <v>43334</v>
      </c>
      <c r="V46">
        <v>3.3347022587269</v>
      </c>
      <c r="W46" s="6">
        <f>(U46-C46)/365</f>
        <v>0</v>
      </c>
    </row>
    <row r="47" spans="2:23" x14ac:dyDescent="0.25">
      <c r="B47" s="1" t="s">
        <v>122</v>
      </c>
      <c r="C47" s="2">
        <v>42897</v>
      </c>
      <c r="D47">
        <v>1</v>
      </c>
      <c r="E47">
        <v>0.5</v>
      </c>
      <c r="F47" s="3">
        <v>29</v>
      </c>
      <c r="T47">
        <v>1</v>
      </c>
      <c r="U47" s="2">
        <v>42897</v>
      </c>
      <c r="V47">
        <v>1.9603011635865799</v>
      </c>
      <c r="W47" s="6">
        <f>(U47-C47)/365</f>
        <v>0</v>
      </c>
    </row>
    <row r="48" spans="2:23" x14ac:dyDescent="0.25">
      <c r="B48" s="1" t="s">
        <v>131</v>
      </c>
      <c r="C48" s="2">
        <v>44813</v>
      </c>
      <c r="D48">
        <v>1</v>
      </c>
      <c r="E48">
        <v>0.5</v>
      </c>
      <c r="F48" s="3">
        <v>29</v>
      </c>
      <c r="T48">
        <v>1</v>
      </c>
      <c r="U48" s="2">
        <v>44813</v>
      </c>
      <c r="V48">
        <v>5.2046543463381196</v>
      </c>
      <c r="W48" s="6">
        <f>(U48-C48)/365</f>
        <v>0</v>
      </c>
    </row>
    <row r="49" spans="2:23" x14ac:dyDescent="0.25">
      <c r="B49" s="1" t="s">
        <v>139</v>
      </c>
      <c r="C49" s="2">
        <v>45204</v>
      </c>
      <c r="D49">
        <v>0.5</v>
      </c>
      <c r="E49">
        <v>0.5</v>
      </c>
      <c r="F49" s="3">
        <v>29</v>
      </c>
      <c r="T49">
        <v>1</v>
      </c>
      <c r="U49" s="2">
        <v>45204</v>
      </c>
      <c r="V49">
        <v>5.13894592744695</v>
      </c>
      <c r="W49" s="6">
        <f>(U49-C49)/365</f>
        <v>0</v>
      </c>
    </row>
    <row r="50" spans="2:23" x14ac:dyDescent="0.25">
      <c r="B50" s="1" t="s">
        <v>150</v>
      </c>
      <c r="C50" s="2">
        <v>45131</v>
      </c>
      <c r="D50">
        <v>0.5</v>
      </c>
      <c r="E50">
        <v>0.5</v>
      </c>
      <c r="F50" s="3">
        <v>29</v>
      </c>
      <c r="T50">
        <v>1</v>
      </c>
      <c r="U50" s="2">
        <v>45131</v>
      </c>
      <c r="V50">
        <v>5.9548254620123204</v>
      </c>
      <c r="W50" s="6">
        <f>(U50-C50)/365</f>
        <v>0</v>
      </c>
    </row>
    <row r="51" spans="2:23" x14ac:dyDescent="0.25">
      <c r="B51" s="1" t="s">
        <v>121</v>
      </c>
      <c r="C51" s="2">
        <v>44550</v>
      </c>
      <c r="D51">
        <v>3.5</v>
      </c>
      <c r="E51">
        <v>0.5</v>
      </c>
      <c r="F51" s="3">
        <v>30</v>
      </c>
      <c r="I51">
        <v>9654</v>
      </c>
      <c r="K51" s="8">
        <v>562</v>
      </c>
      <c r="M51">
        <v>476</v>
      </c>
      <c r="O51" s="8">
        <v>77.5</v>
      </c>
      <c r="Q51" s="8">
        <v>5.821421172570955E-2</v>
      </c>
      <c r="R51" s="8">
        <v>7.2516129032258068</v>
      </c>
      <c r="S51">
        <v>1</v>
      </c>
      <c r="T51">
        <v>1</v>
      </c>
      <c r="U51" s="2">
        <v>44550</v>
      </c>
      <c r="V51">
        <v>4.0027378507871303</v>
      </c>
      <c r="W51" s="6">
        <f>(U51-C51)/365</f>
        <v>0</v>
      </c>
    </row>
    <row r="52" spans="2:23" x14ac:dyDescent="0.25">
      <c r="B52" s="1" t="s">
        <v>42</v>
      </c>
      <c r="C52" s="2">
        <v>42830</v>
      </c>
      <c r="D52">
        <v>0.5</v>
      </c>
      <c r="E52">
        <v>0.5</v>
      </c>
      <c r="F52" s="3">
        <v>30</v>
      </c>
      <c r="G52">
        <v>4107.0547620396701</v>
      </c>
      <c r="H52">
        <v>2.0928714623829801</v>
      </c>
      <c r="I52">
        <v>10648.366971654201</v>
      </c>
      <c r="J52">
        <v>0.54475603065977796</v>
      </c>
      <c r="K52">
        <v>659.46409324346496</v>
      </c>
      <c r="L52">
        <v>2.82532369961078</v>
      </c>
      <c r="M52" s="8">
        <v>616.67317292712096</v>
      </c>
      <c r="N52">
        <v>2.0001171907709501</v>
      </c>
      <c r="O52" s="8">
        <v>84.46</v>
      </c>
      <c r="P52">
        <v>0.22519</v>
      </c>
      <c r="Q52" s="8">
        <v>6.1931007355301423E-2</v>
      </c>
      <c r="R52" s="8">
        <v>7.8080048927713124</v>
      </c>
      <c r="S52">
        <v>0</v>
      </c>
      <c r="T52">
        <v>1</v>
      </c>
      <c r="U52" s="2">
        <v>42830</v>
      </c>
      <c r="V52">
        <v>1.9603011635865799</v>
      </c>
      <c r="W52" s="6">
        <f>(U52-C52)/365</f>
        <v>0</v>
      </c>
    </row>
    <row r="53" spans="2:23" x14ac:dyDescent="0.25">
      <c r="B53" s="1" t="s">
        <v>35</v>
      </c>
      <c r="C53" s="2">
        <v>44746</v>
      </c>
      <c r="D53">
        <v>1</v>
      </c>
      <c r="E53">
        <v>0.5</v>
      </c>
      <c r="F53" s="3">
        <v>30</v>
      </c>
      <c r="T53">
        <v>1</v>
      </c>
      <c r="U53" s="2">
        <v>44746</v>
      </c>
      <c r="V53">
        <v>3.9479808350444898</v>
      </c>
      <c r="W53" s="6">
        <f>(U53-C53)/365</f>
        <v>0</v>
      </c>
    </row>
    <row r="54" spans="2:23" x14ac:dyDescent="0.25">
      <c r="B54" s="1" t="s">
        <v>56</v>
      </c>
      <c r="C54" s="2">
        <v>44298</v>
      </c>
      <c r="D54">
        <v>1</v>
      </c>
      <c r="E54">
        <v>0.5</v>
      </c>
      <c r="F54" s="3">
        <v>30</v>
      </c>
      <c r="T54">
        <v>1</v>
      </c>
      <c r="U54" s="2">
        <v>44298</v>
      </c>
      <c r="V54">
        <v>5.13073237508556</v>
      </c>
      <c r="W54" s="6">
        <f>(U54-C54)/365</f>
        <v>0</v>
      </c>
    </row>
    <row r="55" spans="2:23" x14ac:dyDescent="0.25">
      <c r="B55" s="1" t="s">
        <v>61</v>
      </c>
      <c r="C55" s="2">
        <v>44244</v>
      </c>
      <c r="D55">
        <v>0.5</v>
      </c>
      <c r="E55">
        <v>0.5</v>
      </c>
      <c r="F55" s="3">
        <v>30</v>
      </c>
      <c r="T55">
        <v>1</v>
      </c>
      <c r="U55" s="2">
        <v>44244</v>
      </c>
      <c r="V55">
        <v>6.0041067761807003</v>
      </c>
      <c r="W55" s="6">
        <f>(U55-C55)/365</f>
        <v>0</v>
      </c>
    </row>
    <row r="56" spans="2:23" x14ac:dyDescent="0.25">
      <c r="B56" s="1" t="s">
        <v>63</v>
      </c>
      <c r="C56" s="2">
        <v>45145</v>
      </c>
      <c r="D56">
        <v>1.5</v>
      </c>
      <c r="E56">
        <v>0.5</v>
      </c>
      <c r="F56" s="3">
        <v>30</v>
      </c>
      <c r="T56">
        <v>1</v>
      </c>
      <c r="U56" s="2">
        <v>45145</v>
      </c>
      <c r="V56">
        <v>5.2867898699520897</v>
      </c>
      <c r="W56" s="6">
        <f>(U56-C56)/365</f>
        <v>0</v>
      </c>
    </row>
    <row r="57" spans="2:23" x14ac:dyDescent="0.25">
      <c r="B57" s="1" t="s">
        <v>73</v>
      </c>
      <c r="C57" s="2">
        <v>43361</v>
      </c>
      <c r="D57">
        <v>0.5</v>
      </c>
      <c r="E57">
        <v>0.5</v>
      </c>
      <c r="F57" s="3">
        <v>30</v>
      </c>
      <c r="T57">
        <v>1</v>
      </c>
      <c r="U57" s="2">
        <v>43361</v>
      </c>
      <c r="V57">
        <v>2.16837782340862</v>
      </c>
      <c r="W57" s="6">
        <f>(U57-C57)/365</f>
        <v>0</v>
      </c>
    </row>
    <row r="58" spans="2:23" x14ac:dyDescent="0.25">
      <c r="B58" s="1" t="s">
        <v>78</v>
      </c>
      <c r="C58" s="2">
        <v>45077</v>
      </c>
      <c r="D58">
        <v>1</v>
      </c>
      <c r="E58">
        <v>0.5</v>
      </c>
      <c r="F58" s="3">
        <v>30</v>
      </c>
      <c r="T58">
        <v>1</v>
      </c>
      <c r="U58" s="2">
        <v>45077</v>
      </c>
      <c r="V58">
        <v>5.05954825462012</v>
      </c>
      <c r="W58" s="6">
        <f>(U58-C58)/365</f>
        <v>0</v>
      </c>
    </row>
    <row r="59" spans="2:23" x14ac:dyDescent="0.25">
      <c r="B59" s="1" t="s">
        <v>83</v>
      </c>
      <c r="C59" s="2">
        <v>45055</v>
      </c>
      <c r="D59">
        <v>0.5</v>
      </c>
      <c r="E59">
        <v>0.5</v>
      </c>
      <c r="F59" s="3">
        <v>30</v>
      </c>
      <c r="T59">
        <v>1</v>
      </c>
      <c r="U59" s="2">
        <v>45055</v>
      </c>
      <c r="V59">
        <v>5.0540725530458603</v>
      </c>
      <c r="W59" s="6">
        <f>(U59-C59)/365</f>
        <v>0</v>
      </c>
    </row>
    <row r="60" spans="2:23" x14ac:dyDescent="0.25">
      <c r="B60" s="1" t="s">
        <v>108</v>
      </c>
      <c r="C60" s="2">
        <v>44523</v>
      </c>
      <c r="D60">
        <v>0.5</v>
      </c>
      <c r="E60">
        <v>0.5</v>
      </c>
      <c r="F60" s="3">
        <v>30</v>
      </c>
      <c r="T60">
        <v>1</v>
      </c>
      <c r="U60" s="2">
        <v>44523</v>
      </c>
      <c r="V60">
        <v>3.88501026694045</v>
      </c>
      <c r="W60" s="6">
        <f>(U60-C60)/365</f>
        <v>0</v>
      </c>
    </row>
    <row r="61" spans="2:23" x14ac:dyDescent="0.25">
      <c r="B61" s="1" t="s">
        <v>120</v>
      </c>
      <c r="C61" s="2">
        <v>42873</v>
      </c>
      <c r="D61">
        <v>1</v>
      </c>
      <c r="E61">
        <v>0.5</v>
      </c>
      <c r="F61" s="3">
        <v>30</v>
      </c>
      <c r="T61">
        <v>1</v>
      </c>
      <c r="U61" s="2">
        <v>42873</v>
      </c>
      <c r="V61">
        <v>1.07597535934292</v>
      </c>
      <c r="W61" s="6">
        <f>(U61-C61)/365</f>
        <v>0</v>
      </c>
    </row>
    <row r="62" spans="2:23" x14ac:dyDescent="0.25">
      <c r="B62" s="1" t="s">
        <v>123</v>
      </c>
      <c r="C62" s="2">
        <v>42873</v>
      </c>
      <c r="D62">
        <v>0.5</v>
      </c>
      <c r="E62">
        <v>0.5</v>
      </c>
      <c r="F62" s="3">
        <v>30</v>
      </c>
      <c r="T62">
        <v>1</v>
      </c>
      <c r="U62" s="2">
        <v>42873</v>
      </c>
      <c r="V62">
        <v>1.0431211498973301</v>
      </c>
      <c r="W62" s="6">
        <f>(U62-C62)/365</f>
        <v>0</v>
      </c>
    </row>
    <row r="63" spans="2:23" x14ac:dyDescent="0.25">
      <c r="B63" s="1" t="s">
        <v>124</v>
      </c>
      <c r="C63" s="2">
        <v>45042</v>
      </c>
      <c r="D63">
        <v>0.5</v>
      </c>
      <c r="E63">
        <v>0.5</v>
      </c>
      <c r="F63" s="3">
        <v>30</v>
      </c>
      <c r="T63">
        <v>1</v>
      </c>
      <c r="U63" s="2">
        <v>45042</v>
      </c>
      <c r="V63">
        <v>4.9253935660506496</v>
      </c>
      <c r="W63" s="6">
        <f>(U63-C63)/365</f>
        <v>0</v>
      </c>
    </row>
    <row r="64" spans="2:23" x14ac:dyDescent="0.25">
      <c r="B64" s="1" t="s">
        <v>134</v>
      </c>
      <c r="C64" s="2">
        <v>43334</v>
      </c>
      <c r="D64">
        <v>0.5</v>
      </c>
      <c r="E64">
        <v>0.5</v>
      </c>
      <c r="F64" s="3">
        <v>30</v>
      </c>
      <c r="T64">
        <v>1</v>
      </c>
      <c r="U64" s="2">
        <v>43334</v>
      </c>
      <c r="V64">
        <v>3.00616016427105</v>
      </c>
      <c r="W64" s="6">
        <f>(U64-C64)/365</f>
        <v>0</v>
      </c>
    </row>
    <row r="65" spans="2:23" x14ac:dyDescent="0.25">
      <c r="B65" s="1" t="s">
        <v>138</v>
      </c>
      <c r="C65" s="2">
        <v>43080</v>
      </c>
      <c r="D65">
        <v>0.5</v>
      </c>
      <c r="E65">
        <v>0.5</v>
      </c>
      <c r="F65" s="3">
        <v>30</v>
      </c>
      <c r="T65">
        <v>1</v>
      </c>
      <c r="U65" s="2">
        <v>43080</v>
      </c>
      <c r="V65">
        <v>0.97467488021902804</v>
      </c>
      <c r="W65" s="6">
        <f>(U65-C65)/365</f>
        <v>0</v>
      </c>
    </row>
    <row r="66" spans="2:23" x14ac:dyDescent="0.25">
      <c r="B66" s="1" t="s">
        <v>140</v>
      </c>
      <c r="C66" s="2">
        <v>42381</v>
      </c>
      <c r="D66">
        <v>0.5</v>
      </c>
      <c r="E66">
        <v>0.5</v>
      </c>
      <c r="F66" s="3">
        <v>30</v>
      </c>
      <c r="T66">
        <v>1</v>
      </c>
      <c r="U66" s="2">
        <v>42381</v>
      </c>
      <c r="V66">
        <v>1.0157426420260101</v>
      </c>
      <c r="W66" s="6">
        <f>(U66-C66)/365</f>
        <v>0</v>
      </c>
    </row>
    <row r="67" spans="2:23" x14ac:dyDescent="0.25">
      <c r="B67" s="1" t="s">
        <v>144</v>
      </c>
      <c r="C67" s="2">
        <v>44781</v>
      </c>
      <c r="D67">
        <v>1.5</v>
      </c>
      <c r="E67">
        <v>0.5</v>
      </c>
      <c r="F67" s="3">
        <v>30</v>
      </c>
      <c r="T67">
        <v>1</v>
      </c>
      <c r="U67" s="2">
        <v>44781</v>
      </c>
      <c r="V67">
        <v>7.0828199863107502</v>
      </c>
      <c r="W67" s="6">
        <f>(U67-C67)/365</f>
        <v>0</v>
      </c>
    </row>
    <row r="68" spans="2:23" x14ac:dyDescent="0.25">
      <c r="B68" s="1" t="s">
        <v>94</v>
      </c>
      <c r="C68" s="2">
        <v>43510</v>
      </c>
      <c r="D68">
        <v>0.5</v>
      </c>
      <c r="E68">
        <v>0.5</v>
      </c>
      <c r="F68" s="3" t="s">
        <v>31</v>
      </c>
      <c r="T68">
        <v>1</v>
      </c>
      <c r="U68" s="2">
        <v>43510</v>
      </c>
      <c r="V68">
        <v>2.9212867898699502</v>
      </c>
      <c r="W68" s="6">
        <f>(U68-C68)/365</f>
        <v>0</v>
      </c>
    </row>
    <row r="69" spans="2:23" x14ac:dyDescent="0.25">
      <c r="B69" s="1" t="s">
        <v>22</v>
      </c>
      <c r="C69" s="2">
        <v>45104</v>
      </c>
      <c r="D69">
        <v>0</v>
      </c>
      <c r="E69">
        <v>0</v>
      </c>
      <c r="F69" s="3">
        <v>27</v>
      </c>
      <c r="T69">
        <v>1</v>
      </c>
      <c r="U69" s="2">
        <v>45104</v>
      </c>
      <c r="V69">
        <v>6.9568788501026697</v>
      </c>
      <c r="W69" s="6">
        <f>(U69-C69)/365</f>
        <v>0</v>
      </c>
    </row>
    <row r="70" spans="2:23" x14ac:dyDescent="0.25">
      <c r="B70" s="1" t="s">
        <v>44</v>
      </c>
      <c r="C70" s="2">
        <v>43164</v>
      </c>
      <c r="D70">
        <v>0.5</v>
      </c>
      <c r="E70">
        <v>0</v>
      </c>
      <c r="F70" s="3">
        <v>27</v>
      </c>
      <c r="T70">
        <v>1</v>
      </c>
      <c r="U70" s="2">
        <v>43164</v>
      </c>
      <c r="V70">
        <v>1.9876796714579099</v>
      </c>
      <c r="W70" s="6">
        <f>(U70-C70)/365</f>
        <v>0</v>
      </c>
    </row>
    <row r="71" spans="2:23" x14ac:dyDescent="0.25">
      <c r="B71" s="1" t="s">
        <v>85</v>
      </c>
      <c r="C71" s="2">
        <v>43542</v>
      </c>
      <c r="D71">
        <v>0.5</v>
      </c>
      <c r="E71">
        <v>0</v>
      </c>
      <c r="F71" s="3">
        <v>27</v>
      </c>
      <c r="T71">
        <v>1</v>
      </c>
      <c r="U71" s="2">
        <v>43542</v>
      </c>
      <c r="V71">
        <v>0.95003422313483898</v>
      </c>
      <c r="W71" s="6">
        <f>(U71-C71)/365</f>
        <v>0</v>
      </c>
    </row>
    <row r="72" spans="2:23" x14ac:dyDescent="0.25">
      <c r="B72" s="1" t="s">
        <v>132</v>
      </c>
      <c r="C72" s="2">
        <v>45268</v>
      </c>
      <c r="D72">
        <v>0</v>
      </c>
      <c r="E72">
        <v>0</v>
      </c>
      <c r="F72" s="3">
        <v>27</v>
      </c>
      <c r="T72">
        <v>1</v>
      </c>
      <c r="U72" s="2">
        <v>45268</v>
      </c>
      <c r="V72">
        <v>6.0068446269678297</v>
      </c>
      <c r="W72" s="6">
        <f>(U72-C72)/365</f>
        <v>0</v>
      </c>
    </row>
    <row r="73" spans="2:23" x14ac:dyDescent="0.25">
      <c r="B73" s="1" t="s">
        <v>141</v>
      </c>
      <c r="C73" s="2">
        <v>45043</v>
      </c>
      <c r="D73">
        <v>0</v>
      </c>
      <c r="E73">
        <v>0</v>
      </c>
      <c r="F73" s="3">
        <v>27</v>
      </c>
      <c r="T73">
        <v>1</v>
      </c>
      <c r="U73" s="2">
        <v>45043</v>
      </c>
      <c r="V73">
        <v>4.8323066392881602</v>
      </c>
      <c r="W73" s="6">
        <f>(U73-C73)/365</f>
        <v>0</v>
      </c>
    </row>
    <row r="74" spans="2:23" x14ac:dyDescent="0.25">
      <c r="B74" s="1" t="s">
        <v>93</v>
      </c>
      <c r="C74" s="2">
        <v>43264</v>
      </c>
      <c r="D74">
        <v>0</v>
      </c>
      <c r="E74">
        <v>0</v>
      </c>
      <c r="F74" s="3">
        <v>28</v>
      </c>
      <c r="G74">
        <v>4597.7033290036798</v>
      </c>
      <c r="H74">
        <v>7.6625731190239499</v>
      </c>
      <c r="I74">
        <v>11778.976338447799</v>
      </c>
      <c r="J74">
        <v>2.56387872817252E-3</v>
      </c>
      <c r="K74">
        <v>1565.37991843039</v>
      </c>
      <c r="L74">
        <v>2.5676461205960099</v>
      </c>
      <c r="M74">
        <v>365.326702151956</v>
      </c>
      <c r="N74">
        <v>2.7338503831761898</v>
      </c>
      <c r="O74">
        <v>71.344999999999999</v>
      </c>
      <c r="P74">
        <v>0.18423999999999999</v>
      </c>
      <c r="Q74">
        <v>0.1328960916001527</v>
      </c>
      <c r="R74">
        <v>21.94098981611031</v>
      </c>
      <c r="S74">
        <v>0</v>
      </c>
      <c r="T74">
        <v>1</v>
      </c>
      <c r="U74" s="2">
        <v>43264</v>
      </c>
      <c r="V74">
        <v>2.16837782340862</v>
      </c>
      <c r="W74" s="6">
        <f>(U74-C74)/365</f>
        <v>0</v>
      </c>
    </row>
    <row r="75" spans="2:23" x14ac:dyDescent="0.25">
      <c r="B75" s="1" t="s">
        <v>48</v>
      </c>
      <c r="C75" s="2">
        <v>43514</v>
      </c>
      <c r="D75">
        <v>0</v>
      </c>
      <c r="E75">
        <v>0</v>
      </c>
      <c r="F75" s="3">
        <v>28</v>
      </c>
      <c r="G75">
        <v>4602.2962861453498</v>
      </c>
      <c r="H75">
        <v>5.7995643006497302</v>
      </c>
      <c r="I75">
        <v>12668.2543047328</v>
      </c>
      <c r="J75">
        <v>3.9656802634369201</v>
      </c>
      <c r="K75">
        <v>1622.20638036635</v>
      </c>
      <c r="L75">
        <v>3.5234125708915101</v>
      </c>
      <c r="M75">
        <v>465.727488630121</v>
      </c>
      <c r="N75">
        <v>1.2198206634851301</v>
      </c>
      <c r="O75">
        <v>69.385000000000005</v>
      </c>
      <c r="P75">
        <v>0.52805000000000002</v>
      </c>
      <c r="Q75">
        <v>0.12805287463800771</v>
      </c>
      <c r="R75">
        <v>23.379784973212509</v>
      </c>
      <c r="S75">
        <v>0</v>
      </c>
      <c r="T75">
        <v>1</v>
      </c>
      <c r="U75" s="2">
        <v>43514</v>
      </c>
      <c r="V75">
        <v>3.90965092402464</v>
      </c>
      <c r="W75" s="6">
        <f>(U75-C75)/365</f>
        <v>0</v>
      </c>
    </row>
    <row r="76" spans="2:23" x14ac:dyDescent="0.25">
      <c r="B76" s="1" t="s">
        <v>86</v>
      </c>
      <c r="C76" s="2">
        <v>44848</v>
      </c>
      <c r="D76">
        <v>0.5</v>
      </c>
      <c r="E76">
        <v>0</v>
      </c>
      <c r="F76" s="3">
        <v>28</v>
      </c>
      <c r="I76">
        <v>13698</v>
      </c>
      <c r="K76">
        <v>1453</v>
      </c>
      <c r="M76">
        <v>443</v>
      </c>
      <c r="O76">
        <v>45.4</v>
      </c>
      <c r="Q76">
        <v>0.10607387939845232</v>
      </c>
      <c r="R76">
        <v>32.004405286343612</v>
      </c>
      <c r="S76">
        <v>1</v>
      </c>
      <c r="T76">
        <v>1</v>
      </c>
      <c r="U76" s="2">
        <v>44848</v>
      </c>
      <c r="V76">
        <v>4.9719370294319001</v>
      </c>
      <c r="W76" s="6">
        <f>(U76-C76)/365</f>
        <v>0</v>
      </c>
    </row>
    <row r="77" spans="2:23" x14ac:dyDescent="0.25">
      <c r="B77" s="1" t="s">
        <v>29</v>
      </c>
      <c r="C77" s="2">
        <v>44951</v>
      </c>
      <c r="D77">
        <v>0.5</v>
      </c>
      <c r="E77">
        <v>0</v>
      </c>
      <c r="F77" s="3">
        <v>28</v>
      </c>
      <c r="T77">
        <v>1</v>
      </c>
      <c r="U77" s="2">
        <v>44951</v>
      </c>
      <c r="V77">
        <v>5.1964407939767296</v>
      </c>
      <c r="W77" s="6">
        <f>(U77-C77)/365</f>
        <v>0</v>
      </c>
    </row>
    <row r="78" spans="2:23" x14ac:dyDescent="0.25">
      <c r="B78" s="1" t="s">
        <v>58</v>
      </c>
      <c r="C78" s="2">
        <v>43144</v>
      </c>
      <c r="D78">
        <v>0</v>
      </c>
      <c r="E78">
        <v>0</v>
      </c>
      <c r="F78" s="3">
        <v>28</v>
      </c>
      <c r="T78">
        <v>1</v>
      </c>
      <c r="U78" s="2">
        <v>43144</v>
      </c>
      <c r="V78">
        <v>0.95277207392197105</v>
      </c>
      <c r="W78" s="6">
        <f>(U78-C78)/365</f>
        <v>0</v>
      </c>
    </row>
    <row r="79" spans="2:23" x14ac:dyDescent="0.25">
      <c r="B79" s="1" t="s">
        <v>87</v>
      </c>
      <c r="C79" s="2">
        <v>45135</v>
      </c>
      <c r="D79">
        <v>0</v>
      </c>
      <c r="E79">
        <v>0</v>
      </c>
      <c r="F79" s="3">
        <v>28</v>
      </c>
      <c r="T79">
        <v>1</v>
      </c>
      <c r="U79" s="2">
        <v>45135</v>
      </c>
      <c r="V79">
        <v>5.3169062286105397</v>
      </c>
      <c r="W79" s="6">
        <f>(U79-C79)/365</f>
        <v>0</v>
      </c>
    </row>
    <row r="80" spans="2:23" x14ac:dyDescent="0.25">
      <c r="B80" s="1" t="s">
        <v>103</v>
      </c>
      <c r="C80" s="2">
        <v>43304</v>
      </c>
      <c r="D80">
        <v>0</v>
      </c>
      <c r="E80">
        <v>0</v>
      </c>
      <c r="F80" s="3">
        <v>28</v>
      </c>
      <c r="T80">
        <v>1</v>
      </c>
      <c r="U80" s="2">
        <v>43304</v>
      </c>
      <c r="V80">
        <v>2.0068446269678302</v>
      </c>
      <c r="W80" s="6">
        <f>(U80-C80)/365</f>
        <v>0</v>
      </c>
    </row>
    <row r="81" spans="2:23" x14ac:dyDescent="0.25">
      <c r="B81" s="1" t="s">
        <v>117</v>
      </c>
      <c r="C81" s="2">
        <v>45236</v>
      </c>
      <c r="D81">
        <v>0</v>
      </c>
      <c r="E81">
        <v>0</v>
      </c>
      <c r="F81" s="3">
        <v>28</v>
      </c>
      <c r="T81">
        <v>1</v>
      </c>
      <c r="U81" s="2">
        <v>45236</v>
      </c>
      <c r="V81">
        <v>8.1040383299110204</v>
      </c>
      <c r="W81" s="6">
        <f>(U81-C81)/365</f>
        <v>0</v>
      </c>
    </row>
    <row r="82" spans="2:23" x14ac:dyDescent="0.25">
      <c r="B82" s="1" t="s">
        <v>125</v>
      </c>
      <c r="C82" s="2">
        <v>44974</v>
      </c>
      <c r="D82">
        <v>0</v>
      </c>
      <c r="E82">
        <v>0</v>
      </c>
      <c r="F82" s="3">
        <v>28</v>
      </c>
      <c r="T82">
        <v>1</v>
      </c>
      <c r="U82" s="2">
        <v>44974</v>
      </c>
      <c r="V82">
        <v>7.9452429842573604</v>
      </c>
      <c r="W82" s="6">
        <f>(U82-C82)/365</f>
        <v>0</v>
      </c>
    </row>
    <row r="83" spans="2:23" x14ac:dyDescent="0.25">
      <c r="B83" s="1" t="s">
        <v>126</v>
      </c>
      <c r="C83" s="2">
        <v>42940</v>
      </c>
      <c r="D83">
        <v>0</v>
      </c>
      <c r="E83">
        <v>0</v>
      </c>
      <c r="F83" s="3">
        <v>28</v>
      </c>
      <c r="T83">
        <v>1</v>
      </c>
      <c r="U83" s="2">
        <v>42940</v>
      </c>
      <c r="V83">
        <v>1.0458590006844599</v>
      </c>
      <c r="W83" s="6">
        <f>(U83-C83)/365</f>
        <v>0</v>
      </c>
    </row>
    <row r="84" spans="2:23" x14ac:dyDescent="0.25">
      <c r="B84" s="1" t="s">
        <v>129</v>
      </c>
      <c r="C84" s="2">
        <v>44816</v>
      </c>
      <c r="D84">
        <v>0</v>
      </c>
      <c r="E84">
        <v>0</v>
      </c>
      <c r="F84" s="3">
        <v>28</v>
      </c>
      <c r="T84">
        <v>1</v>
      </c>
      <c r="U84" s="2">
        <v>44816</v>
      </c>
      <c r="V84">
        <v>7.1676933607118398</v>
      </c>
      <c r="W84" s="6">
        <f>(U84-C84)/365</f>
        <v>0</v>
      </c>
    </row>
    <row r="85" spans="2:23" x14ac:dyDescent="0.25">
      <c r="B85" s="1" t="s">
        <v>153</v>
      </c>
      <c r="C85" s="2">
        <v>43787</v>
      </c>
      <c r="D85">
        <v>0</v>
      </c>
      <c r="E85">
        <v>0</v>
      </c>
      <c r="F85" s="3">
        <v>28</v>
      </c>
      <c r="T85">
        <v>1</v>
      </c>
      <c r="U85" s="2">
        <v>43787</v>
      </c>
      <c r="V85">
        <v>2.0123203285420899</v>
      </c>
      <c r="W85" s="6">
        <f>(U85-C85)/365</f>
        <v>0</v>
      </c>
    </row>
    <row r="86" spans="2:23" x14ac:dyDescent="0.25">
      <c r="B86" s="1" t="s">
        <v>154</v>
      </c>
      <c r="C86" s="2">
        <v>43843</v>
      </c>
      <c r="D86">
        <v>0</v>
      </c>
      <c r="E86">
        <v>0</v>
      </c>
      <c r="F86" s="3">
        <v>28</v>
      </c>
      <c r="T86">
        <v>1</v>
      </c>
      <c r="U86" s="2">
        <v>43843</v>
      </c>
      <c r="V86">
        <v>4.9965776865160896</v>
      </c>
      <c r="W86" s="6">
        <f>(U86-C86)/365</f>
        <v>0</v>
      </c>
    </row>
    <row r="87" spans="2:23" x14ac:dyDescent="0.25">
      <c r="B87" s="1" t="s">
        <v>151</v>
      </c>
      <c r="C87" s="2">
        <v>43038</v>
      </c>
      <c r="D87">
        <v>0</v>
      </c>
      <c r="E87">
        <v>0</v>
      </c>
      <c r="F87" s="3">
        <v>29</v>
      </c>
      <c r="G87">
        <v>2762.4678974037602</v>
      </c>
      <c r="H87">
        <v>6.6997086388445499</v>
      </c>
      <c r="I87">
        <v>7032.3639234580596</v>
      </c>
      <c r="J87">
        <v>1.1253949551061899</v>
      </c>
      <c r="K87" s="8">
        <v>309.55169213270801</v>
      </c>
      <c r="L87">
        <v>1.4231266069940101</v>
      </c>
      <c r="M87" s="8">
        <v>823.59396087962102</v>
      </c>
      <c r="N87">
        <v>0.84434014957134995</v>
      </c>
      <c r="O87" s="8">
        <v>120.27</v>
      </c>
      <c r="P87">
        <v>1.9734</v>
      </c>
      <c r="Q87" s="8">
        <v>4.401815598594485E-2</v>
      </c>
      <c r="R87" s="8">
        <v>2.5738063701064942</v>
      </c>
      <c r="S87">
        <v>0</v>
      </c>
      <c r="T87">
        <v>1</v>
      </c>
      <c r="U87" s="2">
        <v>43038</v>
      </c>
      <c r="V87">
        <v>1.95482546201232</v>
      </c>
      <c r="W87" s="6">
        <f>(U87-C87)/365</f>
        <v>0</v>
      </c>
    </row>
    <row r="88" spans="2:23" x14ac:dyDescent="0.25">
      <c r="B88" s="1" t="s">
        <v>30</v>
      </c>
      <c r="C88" s="2">
        <v>45261</v>
      </c>
      <c r="D88">
        <v>0</v>
      </c>
      <c r="E88">
        <v>0</v>
      </c>
      <c r="F88" s="3">
        <v>29</v>
      </c>
      <c r="T88">
        <v>1</v>
      </c>
      <c r="U88" s="2">
        <v>45261</v>
      </c>
      <c r="V88">
        <v>7.9644079397672796</v>
      </c>
      <c r="W88" s="6">
        <f>(U88-C88)/365</f>
        <v>0</v>
      </c>
    </row>
    <row r="89" spans="2:23" x14ac:dyDescent="0.25">
      <c r="B89" s="1" t="s">
        <v>36</v>
      </c>
      <c r="C89" s="2">
        <v>44818</v>
      </c>
      <c r="D89">
        <v>0</v>
      </c>
      <c r="E89">
        <v>0</v>
      </c>
      <c r="F89" s="3">
        <v>29</v>
      </c>
      <c r="T89">
        <v>1</v>
      </c>
      <c r="U89" s="2">
        <v>44818</v>
      </c>
      <c r="V89">
        <v>6.9979466119096498</v>
      </c>
      <c r="W89" s="6">
        <f>(U89-C89)/365</f>
        <v>0</v>
      </c>
    </row>
    <row r="90" spans="2:23" x14ac:dyDescent="0.25">
      <c r="B90" s="1" t="s">
        <v>50</v>
      </c>
      <c r="C90" s="2">
        <v>44655</v>
      </c>
      <c r="D90">
        <v>0</v>
      </c>
      <c r="E90">
        <v>0</v>
      </c>
      <c r="F90" s="3">
        <v>29</v>
      </c>
      <c r="T90">
        <v>1</v>
      </c>
      <c r="U90" s="2">
        <v>44655</v>
      </c>
      <c r="V90">
        <v>7.0280629705680999</v>
      </c>
      <c r="W90" s="6">
        <f>(U90-C90)/365</f>
        <v>0</v>
      </c>
    </row>
    <row r="91" spans="2:23" x14ac:dyDescent="0.25">
      <c r="B91" s="1" t="s">
        <v>51</v>
      </c>
      <c r="C91" s="2">
        <v>44358</v>
      </c>
      <c r="D91">
        <v>0.5</v>
      </c>
      <c r="E91">
        <v>0</v>
      </c>
      <c r="F91" s="3">
        <v>29</v>
      </c>
      <c r="T91">
        <v>1</v>
      </c>
      <c r="U91" s="2">
        <v>44358</v>
      </c>
      <c r="V91">
        <v>5.9822039698836402</v>
      </c>
      <c r="W91" s="6">
        <f>(U91-C91)/365</f>
        <v>0</v>
      </c>
    </row>
    <row r="92" spans="2:23" x14ac:dyDescent="0.25">
      <c r="B92" s="1" t="s">
        <v>55</v>
      </c>
      <c r="C92" s="2">
        <v>43977</v>
      </c>
      <c r="D92">
        <v>0</v>
      </c>
      <c r="E92">
        <v>0</v>
      </c>
      <c r="F92" s="3">
        <v>29</v>
      </c>
      <c r="T92">
        <v>1</v>
      </c>
      <c r="U92" s="2">
        <v>43977</v>
      </c>
      <c r="V92">
        <v>2.0862422997946601</v>
      </c>
      <c r="W92" s="6">
        <f>(U92-C92)/365</f>
        <v>0</v>
      </c>
    </row>
    <row r="93" spans="2:23" x14ac:dyDescent="0.25">
      <c r="B93" s="1" t="s">
        <v>64</v>
      </c>
      <c r="C93" s="2">
        <v>43605</v>
      </c>
      <c r="D93">
        <v>0</v>
      </c>
      <c r="E93">
        <v>0</v>
      </c>
      <c r="F93" s="3">
        <v>29</v>
      </c>
      <c r="T93">
        <v>1</v>
      </c>
      <c r="U93" s="2">
        <v>43605</v>
      </c>
      <c r="V93">
        <v>4.0383299110198498</v>
      </c>
      <c r="W93" s="6">
        <f>(U93-C93)/365</f>
        <v>0</v>
      </c>
    </row>
    <row r="94" spans="2:23" x14ac:dyDescent="0.25">
      <c r="B94" s="1" t="s">
        <v>69</v>
      </c>
      <c r="C94" s="2">
        <v>43746</v>
      </c>
      <c r="D94">
        <v>0</v>
      </c>
      <c r="E94">
        <v>0</v>
      </c>
      <c r="F94" s="3">
        <v>29</v>
      </c>
      <c r="T94">
        <v>1</v>
      </c>
      <c r="U94" s="2">
        <v>43746</v>
      </c>
      <c r="V94">
        <v>1.3415468856947299</v>
      </c>
      <c r="W94" s="6">
        <f>(U94-C94)/365</f>
        <v>0</v>
      </c>
    </row>
    <row r="95" spans="2:23" x14ac:dyDescent="0.25">
      <c r="B95" s="1" t="s">
        <v>74</v>
      </c>
      <c r="C95" s="2">
        <v>43116</v>
      </c>
      <c r="D95">
        <v>0.5</v>
      </c>
      <c r="E95">
        <v>0</v>
      </c>
      <c r="F95" s="3">
        <v>29</v>
      </c>
      <c r="T95">
        <v>1</v>
      </c>
      <c r="U95" s="2">
        <v>43116</v>
      </c>
      <c r="V95">
        <v>1.2429842573579699</v>
      </c>
      <c r="W95" s="6">
        <f>(U95-C95)/365</f>
        <v>0</v>
      </c>
    </row>
    <row r="96" spans="2:23" x14ac:dyDescent="0.25">
      <c r="B96" s="1" t="s">
        <v>77</v>
      </c>
      <c r="C96" s="2">
        <v>43297</v>
      </c>
      <c r="D96">
        <v>0</v>
      </c>
      <c r="E96">
        <v>0</v>
      </c>
      <c r="F96" s="3">
        <v>29</v>
      </c>
      <c r="T96">
        <v>1</v>
      </c>
      <c r="U96" s="2">
        <v>43297</v>
      </c>
      <c r="V96">
        <v>0.98836413415468904</v>
      </c>
      <c r="W96" s="6">
        <f>(U96-C96)/365</f>
        <v>0</v>
      </c>
    </row>
    <row r="97" spans="2:23" x14ac:dyDescent="0.25">
      <c r="B97" s="1" t="s">
        <v>79</v>
      </c>
      <c r="C97" s="2">
        <v>44011</v>
      </c>
      <c r="D97">
        <v>0</v>
      </c>
      <c r="E97">
        <v>0</v>
      </c>
      <c r="F97" s="3">
        <v>29</v>
      </c>
      <c r="T97">
        <v>1</v>
      </c>
      <c r="U97" s="2">
        <v>44011</v>
      </c>
      <c r="V97">
        <v>3.0609171800136901</v>
      </c>
      <c r="W97" s="6">
        <f>(U97-C97)/365</f>
        <v>0</v>
      </c>
    </row>
    <row r="98" spans="2:23" x14ac:dyDescent="0.25">
      <c r="B98" s="1" t="s">
        <v>84</v>
      </c>
      <c r="C98" s="2">
        <v>43468</v>
      </c>
      <c r="D98">
        <v>0</v>
      </c>
      <c r="E98">
        <v>0</v>
      </c>
      <c r="F98" s="3">
        <v>29</v>
      </c>
      <c r="T98">
        <v>1</v>
      </c>
      <c r="U98" s="2">
        <v>43468</v>
      </c>
      <c r="V98">
        <v>1.0376454483230699</v>
      </c>
      <c r="W98" s="6">
        <f>(U98-C98)/365</f>
        <v>0</v>
      </c>
    </row>
    <row r="99" spans="2:23" x14ac:dyDescent="0.25">
      <c r="B99" s="1" t="s">
        <v>92</v>
      </c>
      <c r="C99" s="2">
        <v>45338</v>
      </c>
      <c r="D99">
        <v>0</v>
      </c>
      <c r="E99">
        <v>0</v>
      </c>
      <c r="F99" s="3">
        <v>29</v>
      </c>
      <c r="T99">
        <v>1</v>
      </c>
      <c r="U99" s="2">
        <v>45338</v>
      </c>
      <c r="V99">
        <v>8.9993155373032199</v>
      </c>
      <c r="W99" s="6">
        <f>(U99-C99)/365</f>
        <v>0</v>
      </c>
    </row>
    <row r="100" spans="2:23" x14ac:dyDescent="0.25">
      <c r="B100" s="1" t="s">
        <v>96</v>
      </c>
      <c r="C100" s="2">
        <v>44963</v>
      </c>
      <c r="D100">
        <v>0</v>
      </c>
      <c r="E100">
        <v>0</v>
      </c>
      <c r="F100" s="3">
        <v>29</v>
      </c>
      <c r="T100">
        <v>1</v>
      </c>
      <c r="U100" s="2">
        <v>44963</v>
      </c>
      <c r="V100">
        <v>5.9739904175222396</v>
      </c>
      <c r="W100" s="6">
        <f>(U100-C100)/365</f>
        <v>0</v>
      </c>
    </row>
    <row r="101" spans="2:23" x14ac:dyDescent="0.25">
      <c r="B101" s="1" t="s">
        <v>100</v>
      </c>
      <c r="C101" s="2">
        <v>42718</v>
      </c>
      <c r="D101">
        <v>0</v>
      </c>
      <c r="E101">
        <v>0</v>
      </c>
      <c r="F101" s="3">
        <v>29</v>
      </c>
      <c r="T101">
        <v>1</v>
      </c>
      <c r="U101" s="2">
        <v>42718</v>
      </c>
      <c r="V101">
        <v>2.00958247775496</v>
      </c>
      <c r="W101" s="6">
        <f>(U101-C101)/365</f>
        <v>0</v>
      </c>
    </row>
    <row r="102" spans="2:23" x14ac:dyDescent="0.25">
      <c r="B102" s="1" t="s">
        <v>102</v>
      </c>
      <c r="C102" s="2">
        <v>45128</v>
      </c>
      <c r="D102">
        <v>0</v>
      </c>
      <c r="E102">
        <v>0</v>
      </c>
      <c r="F102" s="3">
        <v>29</v>
      </c>
      <c r="T102">
        <v>1</v>
      </c>
      <c r="U102" s="2">
        <v>45128</v>
      </c>
      <c r="V102">
        <v>5.05954825462012</v>
      </c>
      <c r="W102" s="6">
        <f>(U102-C102)/365</f>
        <v>0</v>
      </c>
    </row>
    <row r="103" spans="2:23" x14ac:dyDescent="0.25">
      <c r="B103" s="1" t="s">
        <v>107</v>
      </c>
      <c r="C103" s="2">
        <v>42494</v>
      </c>
      <c r="D103">
        <v>0</v>
      </c>
      <c r="E103">
        <v>0</v>
      </c>
      <c r="F103" s="3">
        <v>29</v>
      </c>
      <c r="T103">
        <v>1</v>
      </c>
      <c r="U103" s="2">
        <v>42494</v>
      </c>
      <c r="V103">
        <v>0.98015058179329195</v>
      </c>
      <c r="W103" s="6">
        <f>(U103-C103)/365</f>
        <v>0</v>
      </c>
    </row>
    <row r="104" spans="2:23" x14ac:dyDescent="0.25">
      <c r="B104" s="1" t="s">
        <v>109</v>
      </c>
      <c r="C104" s="2">
        <v>43040</v>
      </c>
      <c r="D104">
        <v>0</v>
      </c>
      <c r="E104">
        <v>0</v>
      </c>
      <c r="F104" s="3">
        <v>29</v>
      </c>
      <c r="T104">
        <v>1</v>
      </c>
      <c r="U104" s="2">
        <v>43040</v>
      </c>
      <c r="V104">
        <v>3.1676933607118398</v>
      </c>
      <c r="W104" s="6">
        <f>(U104-C104)/365</f>
        <v>0</v>
      </c>
    </row>
    <row r="105" spans="2:23" x14ac:dyDescent="0.25">
      <c r="B105" s="1" t="s">
        <v>128</v>
      </c>
      <c r="C105" s="2">
        <v>43675</v>
      </c>
      <c r="D105">
        <v>0.5</v>
      </c>
      <c r="E105">
        <v>0</v>
      </c>
      <c r="F105" s="3">
        <v>29</v>
      </c>
      <c r="T105">
        <v>1</v>
      </c>
      <c r="U105" s="2">
        <v>43675</v>
      </c>
      <c r="V105">
        <v>2.4722792607802901</v>
      </c>
      <c r="W105" s="6">
        <f>(U105-C105)/365</f>
        <v>0</v>
      </c>
    </row>
    <row r="106" spans="2:23" x14ac:dyDescent="0.25">
      <c r="B106" s="1" t="s">
        <v>25</v>
      </c>
      <c r="C106" s="2">
        <v>43584</v>
      </c>
      <c r="D106">
        <v>0</v>
      </c>
      <c r="E106">
        <v>0</v>
      </c>
      <c r="F106" s="3">
        <v>30</v>
      </c>
      <c r="T106">
        <v>1</v>
      </c>
      <c r="U106" s="2">
        <v>43584</v>
      </c>
      <c r="V106">
        <v>4.3066392881587996</v>
      </c>
      <c r="W106" s="6">
        <f>(U106-C106)/365</f>
        <v>0</v>
      </c>
    </row>
    <row r="107" spans="2:23" x14ac:dyDescent="0.25">
      <c r="B107" s="1" t="s">
        <v>26</v>
      </c>
      <c r="C107" s="2">
        <v>43234</v>
      </c>
      <c r="D107">
        <v>0</v>
      </c>
      <c r="E107">
        <v>0</v>
      </c>
      <c r="F107" s="3">
        <v>30</v>
      </c>
      <c r="T107">
        <v>1</v>
      </c>
      <c r="U107" s="2">
        <v>43234</v>
      </c>
      <c r="V107">
        <v>3.0034223134839202</v>
      </c>
      <c r="W107" s="6">
        <f>(U107-C107)/365</f>
        <v>0</v>
      </c>
    </row>
    <row r="108" spans="2:23" x14ac:dyDescent="0.25">
      <c r="B108" s="1" t="s">
        <v>28</v>
      </c>
      <c r="C108" s="2">
        <v>44298</v>
      </c>
      <c r="D108">
        <v>0</v>
      </c>
      <c r="E108">
        <v>0</v>
      </c>
      <c r="F108" s="3">
        <v>30</v>
      </c>
      <c r="T108">
        <v>1</v>
      </c>
      <c r="U108" s="2">
        <v>44298</v>
      </c>
      <c r="V108">
        <v>3.0691307323750898</v>
      </c>
      <c r="W108" s="6">
        <f>(U108-C108)/365</f>
        <v>0</v>
      </c>
    </row>
    <row r="109" spans="2:23" x14ac:dyDescent="0.25">
      <c r="B109" s="1" t="s">
        <v>39</v>
      </c>
      <c r="C109" s="2">
        <v>42942</v>
      </c>
      <c r="D109">
        <v>0</v>
      </c>
      <c r="E109">
        <v>0</v>
      </c>
      <c r="F109" s="3">
        <v>30</v>
      </c>
      <c r="T109">
        <v>1</v>
      </c>
      <c r="U109" s="2">
        <v>42942</v>
      </c>
      <c r="V109">
        <v>2.9869952087611198</v>
      </c>
      <c r="W109" s="6">
        <f>(U109-C109)/365</f>
        <v>0</v>
      </c>
    </row>
    <row r="110" spans="2:23" x14ac:dyDescent="0.25">
      <c r="B110" s="1" t="s">
        <v>45</v>
      </c>
      <c r="C110" s="2">
        <v>43444</v>
      </c>
      <c r="D110">
        <v>0</v>
      </c>
      <c r="E110">
        <v>0</v>
      </c>
      <c r="F110" s="3">
        <v>30</v>
      </c>
      <c r="T110">
        <v>1</v>
      </c>
      <c r="U110" s="2">
        <v>43444</v>
      </c>
      <c r="V110">
        <v>1.6262833675564701</v>
      </c>
      <c r="W110" s="6">
        <f>(U110-C110)/365</f>
        <v>0</v>
      </c>
    </row>
    <row r="111" spans="2:23" x14ac:dyDescent="0.25">
      <c r="B111" s="1" t="s">
        <v>65</v>
      </c>
      <c r="C111" s="2">
        <v>45033</v>
      </c>
      <c r="D111">
        <v>0</v>
      </c>
      <c r="E111">
        <v>0</v>
      </c>
      <c r="F111" s="3">
        <v>30</v>
      </c>
      <c r="T111">
        <v>1</v>
      </c>
      <c r="U111" s="2">
        <v>45033</v>
      </c>
      <c r="V111">
        <v>8.0082135523614006</v>
      </c>
      <c r="W111" s="6">
        <f>(U111-C111)/365</f>
        <v>0</v>
      </c>
    </row>
    <row r="112" spans="2:23" x14ac:dyDescent="0.25">
      <c r="B112" s="1" t="s">
        <v>68</v>
      </c>
      <c r="C112" s="2">
        <v>44900</v>
      </c>
      <c r="D112">
        <v>0</v>
      </c>
      <c r="E112">
        <v>0</v>
      </c>
      <c r="F112" s="3">
        <v>30</v>
      </c>
      <c r="T112">
        <v>1</v>
      </c>
      <c r="U112" s="2">
        <v>44900</v>
      </c>
      <c r="V112">
        <v>7.9863107460643397</v>
      </c>
      <c r="W112" s="6">
        <f>(U112-C112)/365</f>
        <v>0</v>
      </c>
    </row>
    <row r="113" spans="2:23" x14ac:dyDescent="0.25">
      <c r="B113" s="1" t="s">
        <v>72</v>
      </c>
      <c r="C113" s="2">
        <v>44699</v>
      </c>
      <c r="D113">
        <v>0</v>
      </c>
      <c r="E113">
        <v>0</v>
      </c>
      <c r="F113" s="3">
        <v>30</v>
      </c>
      <c r="T113">
        <v>1</v>
      </c>
      <c r="U113" s="2">
        <v>44699</v>
      </c>
      <c r="V113">
        <v>4.0629705681040402</v>
      </c>
      <c r="W113" s="6">
        <f>(U113-C113)/365</f>
        <v>0</v>
      </c>
    </row>
    <row r="114" spans="2:23" x14ac:dyDescent="0.25">
      <c r="B114" s="1" t="s">
        <v>76</v>
      </c>
      <c r="C114" s="2">
        <v>44697</v>
      </c>
      <c r="D114">
        <v>0</v>
      </c>
      <c r="E114">
        <v>0</v>
      </c>
      <c r="F114" s="3">
        <v>30</v>
      </c>
      <c r="T114">
        <v>1</v>
      </c>
      <c r="U114" s="2">
        <v>44697</v>
      </c>
      <c r="V114">
        <v>6.9897330595482501</v>
      </c>
      <c r="W114" s="6">
        <f>(U114-C114)/365</f>
        <v>0</v>
      </c>
    </row>
    <row r="115" spans="2:23" x14ac:dyDescent="0.25">
      <c r="B115" s="1" t="s">
        <v>80</v>
      </c>
      <c r="C115" s="2">
        <v>43704</v>
      </c>
      <c r="D115">
        <v>0.5</v>
      </c>
      <c r="E115">
        <v>0</v>
      </c>
      <c r="F115" s="3">
        <v>30</v>
      </c>
      <c r="T115">
        <v>1</v>
      </c>
      <c r="U115" s="2">
        <v>43704</v>
      </c>
      <c r="V115">
        <v>1.1854893908282</v>
      </c>
      <c r="W115" s="6">
        <f>(U115-C115)/365</f>
        <v>0</v>
      </c>
    </row>
    <row r="116" spans="2:23" x14ac:dyDescent="0.25">
      <c r="B116" s="1" t="s">
        <v>82</v>
      </c>
      <c r="C116" s="2">
        <v>44179</v>
      </c>
      <c r="D116">
        <v>0</v>
      </c>
      <c r="E116">
        <v>0</v>
      </c>
      <c r="F116" s="3">
        <v>30</v>
      </c>
      <c r="T116">
        <v>1</v>
      </c>
      <c r="U116" s="2">
        <v>44179</v>
      </c>
      <c r="V116">
        <v>3.0034223134839202</v>
      </c>
      <c r="W116" s="6">
        <f>(U116-C116)/365</f>
        <v>0</v>
      </c>
    </row>
    <row r="117" spans="2:23" x14ac:dyDescent="0.25">
      <c r="B117" s="1" t="s">
        <v>89</v>
      </c>
      <c r="C117" s="2">
        <v>45131</v>
      </c>
      <c r="D117">
        <v>0</v>
      </c>
      <c r="E117">
        <v>0</v>
      </c>
      <c r="F117" s="3">
        <v>30</v>
      </c>
      <c r="T117">
        <v>1</v>
      </c>
      <c r="U117" s="2">
        <v>45131</v>
      </c>
      <c r="V117">
        <v>5.2073921971252597</v>
      </c>
      <c r="W117" s="6">
        <f>(U117-C117)/365</f>
        <v>0</v>
      </c>
    </row>
    <row r="118" spans="2:23" x14ac:dyDescent="0.25">
      <c r="B118" s="1" t="s">
        <v>90</v>
      </c>
      <c r="C118" s="2">
        <v>43419</v>
      </c>
      <c r="D118">
        <v>0</v>
      </c>
      <c r="E118">
        <v>0</v>
      </c>
      <c r="F118" s="3">
        <v>30</v>
      </c>
      <c r="T118">
        <v>1</v>
      </c>
      <c r="U118" s="2">
        <v>43419</v>
      </c>
      <c r="V118">
        <v>0.95824777549623497</v>
      </c>
      <c r="W118" s="6">
        <f>(U118-C118)/365</f>
        <v>0</v>
      </c>
    </row>
    <row r="119" spans="2:23" x14ac:dyDescent="0.25">
      <c r="B119" s="1" t="s">
        <v>99</v>
      </c>
      <c r="C119" s="2">
        <v>43481</v>
      </c>
      <c r="D119">
        <v>0</v>
      </c>
      <c r="E119">
        <v>0</v>
      </c>
      <c r="F119" s="3">
        <v>30</v>
      </c>
      <c r="T119">
        <v>1</v>
      </c>
      <c r="U119" s="2">
        <v>43481</v>
      </c>
      <c r="V119">
        <v>3.03080082135524</v>
      </c>
      <c r="W119" s="6">
        <f>(U119-C119)/365</f>
        <v>0</v>
      </c>
    </row>
    <row r="120" spans="2:23" x14ac:dyDescent="0.25">
      <c r="B120" s="1" t="s">
        <v>101</v>
      </c>
      <c r="C120" s="2">
        <v>44621</v>
      </c>
      <c r="D120">
        <v>0</v>
      </c>
      <c r="E120">
        <v>0</v>
      </c>
      <c r="F120" s="3">
        <v>30</v>
      </c>
      <c r="T120">
        <v>1</v>
      </c>
      <c r="U120" s="2">
        <v>44621</v>
      </c>
      <c r="V120">
        <v>4.2162902121834396</v>
      </c>
      <c r="W120" s="6">
        <f>(U120-C120)/365</f>
        <v>0</v>
      </c>
    </row>
    <row r="121" spans="2:23" x14ac:dyDescent="0.25">
      <c r="B121" s="1" t="s">
        <v>106</v>
      </c>
      <c r="C121" s="2">
        <v>45103</v>
      </c>
      <c r="D121">
        <v>0</v>
      </c>
      <c r="E121">
        <v>0</v>
      </c>
      <c r="F121" s="3">
        <v>30</v>
      </c>
      <c r="T121">
        <v>1</v>
      </c>
      <c r="U121" s="2">
        <v>45103</v>
      </c>
      <c r="V121">
        <v>6.0670773442847397</v>
      </c>
      <c r="W121" s="6">
        <f>(U121-C121)/365</f>
        <v>0</v>
      </c>
    </row>
    <row r="122" spans="2:23" x14ac:dyDescent="0.25">
      <c r="B122" s="1" t="s">
        <v>110</v>
      </c>
      <c r="C122" s="2">
        <v>43999</v>
      </c>
      <c r="D122">
        <v>0</v>
      </c>
      <c r="E122">
        <v>0</v>
      </c>
      <c r="F122" s="3">
        <v>30</v>
      </c>
      <c r="T122">
        <v>1</v>
      </c>
      <c r="U122" s="2">
        <v>43999</v>
      </c>
      <c r="V122">
        <v>2.0369609856262798</v>
      </c>
      <c r="W122" s="6">
        <f>(U122-C122)/365</f>
        <v>0</v>
      </c>
    </row>
    <row r="123" spans="2:23" x14ac:dyDescent="0.25">
      <c r="B123" s="1" t="s">
        <v>112</v>
      </c>
      <c r="C123" s="2">
        <v>43528</v>
      </c>
      <c r="D123">
        <v>0</v>
      </c>
      <c r="E123">
        <v>0</v>
      </c>
      <c r="F123" s="3">
        <v>30</v>
      </c>
      <c r="T123">
        <v>1</v>
      </c>
      <c r="U123" s="2">
        <v>43528</v>
      </c>
      <c r="V123">
        <v>4.0766598220396997</v>
      </c>
      <c r="W123" s="6">
        <f>(U123-C123)/365</f>
        <v>0</v>
      </c>
    </row>
    <row r="124" spans="2:23" x14ac:dyDescent="0.25">
      <c r="B124" s="1" t="s">
        <v>114</v>
      </c>
      <c r="C124" s="2">
        <v>44014</v>
      </c>
      <c r="D124">
        <v>0.5</v>
      </c>
      <c r="E124">
        <v>0</v>
      </c>
      <c r="F124" s="3">
        <v>30</v>
      </c>
      <c r="T124">
        <v>1</v>
      </c>
      <c r="U124" s="2">
        <v>44014</v>
      </c>
      <c r="V124">
        <v>2.00136892539357</v>
      </c>
      <c r="W124" s="6">
        <f>(U124-C124)/365</f>
        <v>0</v>
      </c>
    </row>
    <row r="125" spans="2:23" x14ac:dyDescent="0.25">
      <c r="B125" s="1" t="s">
        <v>116</v>
      </c>
      <c r="C125" s="2">
        <v>45062</v>
      </c>
      <c r="D125">
        <v>0</v>
      </c>
      <c r="E125">
        <v>0</v>
      </c>
      <c r="F125" s="3">
        <v>30</v>
      </c>
      <c r="T125">
        <v>1</v>
      </c>
      <c r="U125" s="2">
        <v>45062</v>
      </c>
      <c r="V125">
        <v>9.0212183436002693</v>
      </c>
      <c r="W125" s="6">
        <f>(U125-C125)/365</f>
        <v>0</v>
      </c>
    </row>
    <row r="126" spans="2:23" x14ac:dyDescent="0.25">
      <c r="B126" s="1" t="s">
        <v>135</v>
      </c>
      <c r="C126" s="2">
        <v>43542</v>
      </c>
      <c r="D126">
        <v>0</v>
      </c>
      <c r="E126">
        <v>0</v>
      </c>
      <c r="F126" s="3">
        <v>30</v>
      </c>
      <c r="T126">
        <v>1</v>
      </c>
      <c r="U126" s="2">
        <v>43542</v>
      </c>
      <c r="V126">
        <v>1.97125256673511</v>
      </c>
      <c r="W126" s="6">
        <f>(U126-C126)/365</f>
        <v>0</v>
      </c>
    </row>
    <row r="127" spans="2:23" x14ac:dyDescent="0.25">
      <c r="B127" s="1" t="s">
        <v>137</v>
      </c>
      <c r="C127" s="2">
        <v>43325</v>
      </c>
      <c r="D127">
        <v>0</v>
      </c>
      <c r="E127">
        <v>0</v>
      </c>
      <c r="F127" s="3">
        <v>30</v>
      </c>
      <c r="T127">
        <v>1</v>
      </c>
      <c r="U127" s="2">
        <v>43325</v>
      </c>
      <c r="V127">
        <v>4.0246406570841904</v>
      </c>
      <c r="W127" s="6">
        <f>(U127-C127)/365</f>
        <v>0</v>
      </c>
    </row>
    <row r="128" spans="2:23" x14ac:dyDescent="0.25">
      <c r="B128" s="1" t="s">
        <v>147</v>
      </c>
      <c r="C128" s="2">
        <v>42601</v>
      </c>
      <c r="D128">
        <v>0</v>
      </c>
      <c r="E128">
        <v>0</v>
      </c>
      <c r="F128" s="3">
        <v>30</v>
      </c>
      <c r="T128">
        <v>1</v>
      </c>
      <c r="U128" s="2">
        <v>42601</v>
      </c>
      <c r="V128">
        <v>0.96372347707049999</v>
      </c>
      <c r="W128" s="6">
        <f>(U128-C128)/365</f>
        <v>0</v>
      </c>
    </row>
    <row r="129" spans="2:23" x14ac:dyDescent="0.25">
      <c r="B129" s="1" t="s">
        <v>149</v>
      </c>
      <c r="C129" s="2">
        <v>43885</v>
      </c>
      <c r="D129">
        <v>0</v>
      </c>
      <c r="E129">
        <v>0</v>
      </c>
      <c r="F129" s="3">
        <v>30</v>
      </c>
      <c r="T129">
        <v>1</v>
      </c>
      <c r="U129" s="2">
        <v>43885</v>
      </c>
      <c r="V129">
        <v>5.0102669404517499</v>
      </c>
      <c r="W129" s="6">
        <f>(U129-C129)/365</f>
        <v>0</v>
      </c>
    </row>
    <row r="130" spans="2:23" x14ac:dyDescent="0.25">
      <c r="B130" s="1" t="s">
        <v>152</v>
      </c>
      <c r="C130" s="2">
        <v>43745</v>
      </c>
      <c r="D130">
        <v>0</v>
      </c>
      <c r="E130">
        <v>0</v>
      </c>
      <c r="F130" s="3">
        <v>30</v>
      </c>
      <c r="T130">
        <v>1</v>
      </c>
      <c r="U130" s="2">
        <v>43745</v>
      </c>
      <c r="V130">
        <v>2.9815195071868601</v>
      </c>
      <c r="W130" s="6">
        <f>(U130-C130)/365</f>
        <v>0</v>
      </c>
    </row>
    <row r="131" spans="2:23" x14ac:dyDescent="0.25">
      <c r="B131" s="1" t="s">
        <v>155</v>
      </c>
      <c r="C131" s="2">
        <v>45142</v>
      </c>
      <c r="D131">
        <v>0.5</v>
      </c>
      <c r="E131">
        <v>0</v>
      </c>
      <c r="F131" s="3">
        <v>30</v>
      </c>
      <c r="T131">
        <v>1</v>
      </c>
      <c r="U131" s="2">
        <v>45142</v>
      </c>
      <c r="V131">
        <v>9.02943189596167</v>
      </c>
      <c r="W131" s="6">
        <f>(U131-C131)/365</f>
        <v>0</v>
      </c>
    </row>
    <row r="132" spans="2:23" x14ac:dyDescent="0.25">
      <c r="B132" s="1" t="s">
        <v>156</v>
      </c>
      <c r="C132" s="2">
        <v>42964</v>
      </c>
      <c r="D132">
        <v>0</v>
      </c>
      <c r="E132">
        <v>0</v>
      </c>
      <c r="F132" s="3">
        <v>30</v>
      </c>
      <c r="T132">
        <v>1</v>
      </c>
      <c r="U132" s="2">
        <v>42964</v>
      </c>
      <c r="V132">
        <v>1.00479123887748</v>
      </c>
      <c r="W132" s="6">
        <f>(U132-C132)/365</f>
        <v>0</v>
      </c>
    </row>
    <row r="133" spans="2:23" x14ac:dyDescent="0.25">
      <c r="B133" s="1" t="s">
        <v>157</v>
      </c>
      <c r="C133" s="2">
        <v>44977</v>
      </c>
      <c r="D133">
        <v>0</v>
      </c>
      <c r="E133">
        <v>0</v>
      </c>
      <c r="F133" s="3">
        <v>30</v>
      </c>
      <c r="T133">
        <v>1</v>
      </c>
      <c r="U133" s="2">
        <v>44977</v>
      </c>
      <c r="V133">
        <v>4.5420944558521601</v>
      </c>
      <c r="W133" s="6">
        <f>(U133-C133)/365</f>
        <v>0</v>
      </c>
    </row>
    <row r="134" spans="2:23" x14ac:dyDescent="0.25">
      <c r="B134" s="1" t="s">
        <v>158</v>
      </c>
      <c r="C134" s="2">
        <v>42872</v>
      </c>
      <c r="D134">
        <v>0</v>
      </c>
      <c r="E134">
        <v>0</v>
      </c>
      <c r="F134" s="3">
        <v>30</v>
      </c>
      <c r="T134">
        <v>1</v>
      </c>
      <c r="U134" s="2">
        <v>42872</v>
      </c>
      <c r="V134">
        <v>2.0506502395619401</v>
      </c>
      <c r="W134" s="6">
        <f>(U134-C134)/365</f>
        <v>0</v>
      </c>
    </row>
    <row r="135" spans="2:23" x14ac:dyDescent="0.25">
      <c r="B135" s="1" t="s">
        <v>159</v>
      </c>
      <c r="C135" s="2">
        <v>42458</v>
      </c>
      <c r="D135">
        <v>0</v>
      </c>
      <c r="E135">
        <v>0</v>
      </c>
      <c r="F135" s="3">
        <v>30</v>
      </c>
      <c r="T135">
        <v>1</v>
      </c>
      <c r="U135" s="2">
        <v>42458</v>
      </c>
      <c r="V135">
        <v>0.95824777549623497</v>
      </c>
      <c r="W135" s="6">
        <f>(U135-C135)/365</f>
        <v>0</v>
      </c>
    </row>
    <row r="136" spans="2:23" x14ac:dyDescent="0.25">
      <c r="B136" s="1"/>
      <c r="C136" s="2"/>
      <c r="F136" s="3"/>
      <c r="U136" s="2"/>
      <c r="W136" s="6"/>
    </row>
    <row r="137" spans="2:23" x14ac:dyDescent="0.25">
      <c r="B137" s="1" t="s">
        <v>145</v>
      </c>
      <c r="C137" s="2">
        <v>44881</v>
      </c>
      <c r="F137" s="3">
        <v>29</v>
      </c>
      <c r="T137">
        <v>1</v>
      </c>
      <c r="U137" s="2">
        <v>44881</v>
      </c>
      <c r="V137">
        <v>6.09993155373032</v>
      </c>
      <c r="W137" s="6">
        <f>(U137-C137)/365</f>
        <v>0</v>
      </c>
    </row>
    <row r="138" spans="2:23" x14ac:dyDescent="0.25">
      <c r="B138" s="1"/>
      <c r="C138" s="2"/>
      <c r="F138" s="3"/>
      <c r="U138" s="2"/>
      <c r="W138" s="6"/>
    </row>
    <row r="139" spans="2:23" x14ac:dyDescent="0.25">
      <c r="B139" s="1"/>
      <c r="C139" s="2"/>
      <c r="F139" s="3"/>
      <c r="U139" s="2"/>
      <c r="W139" s="6"/>
    </row>
    <row r="140" spans="2:23" x14ac:dyDescent="0.25">
      <c r="B140" s="1"/>
      <c r="C140" s="2"/>
      <c r="F140" s="3"/>
      <c r="U140" s="2"/>
      <c r="W140" s="6"/>
    </row>
    <row r="141" spans="2:23" x14ac:dyDescent="0.25">
      <c r="B141" s="1"/>
      <c r="C141" s="2"/>
      <c r="F141" s="3"/>
      <c r="U141" s="2"/>
      <c r="W141" s="6"/>
    </row>
    <row r="142" spans="2:23" x14ac:dyDescent="0.25">
      <c r="B142" s="1"/>
      <c r="C142" s="2"/>
      <c r="F142" s="3"/>
      <c r="U142" s="2"/>
      <c r="W142" s="6"/>
    </row>
    <row r="143" spans="2:23" x14ac:dyDescent="0.25">
      <c r="B143" s="1"/>
      <c r="C143" s="2"/>
      <c r="F143" s="3"/>
      <c r="U143" s="2"/>
      <c r="W143" s="6"/>
    </row>
    <row r="144" spans="2:23" x14ac:dyDescent="0.25">
      <c r="B144" s="1"/>
      <c r="C144" s="2"/>
      <c r="F144" s="3"/>
      <c r="U144" s="2"/>
      <c r="W144" s="6"/>
    </row>
    <row r="145" spans="2:23" x14ac:dyDescent="0.25">
      <c r="B145" s="1"/>
      <c r="C145" s="2"/>
      <c r="F145" s="3"/>
      <c r="U145" s="2"/>
      <c r="W145" s="6"/>
    </row>
    <row r="146" spans="2:23" x14ac:dyDescent="0.25">
      <c r="B146" s="1"/>
      <c r="C146" s="2"/>
      <c r="F146" s="3"/>
      <c r="U146" s="2"/>
      <c r="W146" s="6"/>
    </row>
    <row r="147" spans="2:23" x14ac:dyDescent="0.25">
      <c r="B147" s="1"/>
      <c r="C147" s="2"/>
      <c r="F147" s="3"/>
      <c r="U147" s="2"/>
      <c r="W147" s="6"/>
    </row>
    <row r="148" spans="2:23" x14ac:dyDescent="0.25">
      <c r="B148" s="1"/>
      <c r="C148" s="2"/>
      <c r="F148" s="3"/>
      <c r="U148" s="2"/>
      <c r="W148" s="6"/>
    </row>
    <row r="149" spans="2:23" x14ac:dyDescent="0.25">
      <c r="B149" s="1"/>
      <c r="C149" s="2"/>
      <c r="F149" s="3"/>
      <c r="U149" s="2"/>
      <c r="W149" s="6"/>
    </row>
    <row r="150" spans="2:23" x14ac:dyDescent="0.25">
      <c r="B150" s="1"/>
      <c r="C150" s="2"/>
      <c r="F150" s="3"/>
      <c r="U150" s="2"/>
      <c r="W150" s="6"/>
    </row>
    <row r="151" spans="2:23" x14ac:dyDescent="0.25">
      <c r="B151" s="1"/>
      <c r="C151" s="2"/>
      <c r="F151" s="3"/>
      <c r="U151" s="2"/>
      <c r="W151" s="6"/>
    </row>
    <row r="152" spans="2:23" x14ac:dyDescent="0.25">
      <c r="B152" s="1"/>
      <c r="C152" s="2"/>
      <c r="F152" s="3"/>
      <c r="U152" s="2"/>
      <c r="W152" s="6"/>
    </row>
    <row r="153" spans="2:23" x14ac:dyDescent="0.25">
      <c r="B153" s="1"/>
      <c r="C153" s="2"/>
      <c r="F153" s="3"/>
      <c r="U153" s="2"/>
      <c r="W153" s="6"/>
    </row>
    <row r="154" spans="2:23" x14ac:dyDescent="0.25">
      <c r="B154" s="1"/>
      <c r="C154" s="2"/>
      <c r="F154" s="3"/>
      <c r="U154" s="2"/>
      <c r="W154" s="6"/>
    </row>
    <row r="155" spans="2:23" x14ac:dyDescent="0.25">
      <c r="B155" s="1"/>
      <c r="C155" s="2"/>
      <c r="F155" s="3"/>
      <c r="U155" s="2"/>
      <c r="W155" s="6"/>
    </row>
    <row r="156" spans="2:23" x14ac:dyDescent="0.25">
      <c r="B156" s="1"/>
      <c r="C156" s="2"/>
      <c r="F156" s="3"/>
      <c r="U156" s="2"/>
      <c r="W156" s="6"/>
    </row>
    <row r="157" spans="2:23" x14ac:dyDescent="0.25">
      <c r="B157" s="1"/>
      <c r="C157" s="2"/>
      <c r="F157" s="3"/>
      <c r="U157" s="2"/>
      <c r="W157" s="6"/>
    </row>
    <row r="158" spans="2:23" x14ac:dyDescent="0.25">
      <c r="B158" s="1"/>
      <c r="C158" s="2"/>
      <c r="F158" s="3"/>
      <c r="U158" s="2"/>
      <c r="W158" s="6"/>
    </row>
    <row r="159" spans="2:23" x14ac:dyDescent="0.25">
      <c r="B159" s="1"/>
      <c r="C159" s="2"/>
      <c r="F159" s="3"/>
      <c r="U159" s="2"/>
      <c r="W159" s="6"/>
    </row>
    <row r="160" spans="2:23" x14ac:dyDescent="0.25">
      <c r="B160" s="1"/>
      <c r="C160" s="2"/>
      <c r="F160" s="3"/>
      <c r="U160" s="2"/>
      <c r="W160" s="6"/>
    </row>
    <row r="161" spans="2:23" x14ac:dyDescent="0.25">
      <c r="B161" s="1"/>
      <c r="C161" s="2"/>
      <c r="F161" s="3"/>
      <c r="U161" s="2"/>
      <c r="W161" s="6"/>
    </row>
    <row r="162" spans="2:23" x14ac:dyDescent="0.25">
      <c r="B162" s="1"/>
      <c r="C162" s="2"/>
      <c r="F162" s="3"/>
      <c r="U162" s="2"/>
      <c r="W162" s="6"/>
    </row>
    <row r="163" spans="2:23" x14ac:dyDescent="0.25">
      <c r="B163" s="1"/>
      <c r="C163" s="2"/>
      <c r="F163" s="3"/>
      <c r="U163" s="2"/>
      <c r="W163" s="6"/>
    </row>
    <row r="164" spans="2:23" x14ac:dyDescent="0.25">
      <c r="B164" s="1"/>
      <c r="C164" s="2"/>
      <c r="F164" s="3"/>
      <c r="U164" s="2"/>
      <c r="W164" s="6"/>
    </row>
    <row r="165" spans="2:23" x14ac:dyDescent="0.25">
      <c r="B165" s="1"/>
      <c r="C165" s="2"/>
      <c r="F165" s="3"/>
      <c r="U165" s="2"/>
      <c r="W165" s="6"/>
    </row>
    <row r="166" spans="2:23" x14ac:dyDescent="0.25">
      <c r="B166" s="1"/>
      <c r="C166" s="2"/>
      <c r="F166" s="3"/>
      <c r="U166" s="2"/>
      <c r="W166" s="6"/>
    </row>
    <row r="167" spans="2:23" x14ac:dyDescent="0.25">
      <c r="B167" s="1"/>
      <c r="C167" s="2"/>
      <c r="F167" s="3"/>
      <c r="U167" s="2"/>
      <c r="W167" s="6"/>
    </row>
    <row r="168" spans="2:23" x14ac:dyDescent="0.25">
      <c r="B168" s="1"/>
      <c r="C168" s="2"/>
      <c r="F168" s="3"/>
      <c r="U168" s="2"/>
      <c r="W168" s="6"/>
    </row>
    <row r="169" spans="2:23" x14ac:dyDescent="0.25">
      <c r="B169" s="1"/>
      <c r="C169" s="2"/>
      <c r="F169" s="3"/>
      <c r="U169" s="2"/>
      <c r="W169" s="6"/>
    </row>
    <row r="170" spans="2:23" x14ac:dyDescent="0.25">
      <c r="B170" s="1"/>
      <c r="C170" s="2"/>
      <c r="F170" s="3"/>
      <c r="U170" s="2"/>
      <c r="W170" s="6"/>
    </row>
    <row r="171" spans="2:23" x14ac:dyDescent="0.25">
      <c r="B171" s="1"/>
      <c r="C171" s="2"/>
      <c r="F171" s="3"/>
      <c r="U171" s="2"/>
      <c r="W171" s="6"/>
    </row>
    <row r="172" spans="2:23" x14ac:dyDescent="0.25">
      <c r="B172" s="1"/>
      <c r="C172" s="2"/>
      <c r="F172" s="3"/>
      <c r="U172" s="2"/>
      <c r="W172" s="6"/>
    </row>
    <row r="173" spans="2:23" x14ac:dyDescent="0.25">
      <c r="B173" s="1"/>
      <c r="C173" s="2"/>
      <c r="F173" s="3"/>
      <c r="U173" s="2"/>
      <c r="W173" s="6"/>
    </row>
    <row r="174" spans="2:23" x14ac:dyDescent="0.25">
      <c r="B174" s="1"/>
      <c r="C174" s="2"/>
      <c r="F174" s="3"/>
      <c r="U174" s="2"/>
      <c r="W174" s="6"/>
    </row>
    <row r="175" spans="2:23" x14ac:dyDescent="0.25">
      <c r="B175" s="1"/>
      <c r="C175" s="2"/>
      <c r="F175" s="3"/>
      <c r="U175" s="2"/>
      <c r="W175" s="6"/>
    </row>
    <row r="176" spans="2:23" x14ac:dyDescent="0.25">
      <c r="B176" s="1"/>
      <c r="C176" s="2"/>
      <c r="F176" s="3"/>
      <c r="U176" s="2"/>
      <c r="W176" s="6"/>
    </row>
    <row r="177" spans="2:23" x14ac:dyDescent="0.25">
      <c r="B177" s="1"/>
      <c r="C177" s="2"/>
      <c r="F177" s="3"/>
      <c r="U177" s="2"/>
      <c r="W177" s="6"/>
    </row>
    <row r="178" spans="2:23" x14ac:dyDescent="0.25">
      <c r="B178" s="1"/>
      <c r="C178" s="2"/>
      <c r="F178" s="3"/>
      <c r="U178" s="2"/>
      <c r="W178" s="6"/>
    </row>
    <row r="179" spans="2:23" x14ac:dyDescent="0.25">
      <c r="B179" s="1"/>
      <c r="C179" s="2"/>
      <c r="F179" s="3"/>
      <c r="U179" s="2"/>
      <c r="W179" s="6"/>
    </row>
    <row r="180" spans="2:23" x14ac:dyDescent="0.25">
      <c r="B180" s="1"/>
      <c r="C180" s="2"/>
      <c r="F180" s="3"/>
      <c r="U180" s="2"/>
      <c r="W180" s="6"/>
    </row>
    <row r="181" spans="2:23" x14ac:dyDescent="0.25">
      <c r="B181" s="1"/>
      <c r="C181" s="2"/>
      <c r="F181" s="3"/>
      <c r="U181" s="2"/>
      <c r="W181" s="6"/>
    </row>
    <row r="182" spans="2:23" x14ac:dyDescent="0.25">
      <c r="B182" s="1"/>
      <c r="C182" s="2"/>
      <c r="F182" s="3"/>
      <c r="U182" s="2"/>
      <c r="W182" s="6"/>
    </row>
    <row r="183" spans="2:23" x14ac:dyDescent="0.25">
      <c r="B183" s="1"/>
      <c r="C183" s="2"/>
      <c r="F183" s="3"/>
      <c r="U183" s="2"/>
      <c r="W183" s="6"/>
    </row>
    <row r="184" spans="2:23" x14ac:dyDescent="0.25">
      <c r="B184" s="1"/>
      <c r="C184" s="2"/>
      <c r="F184" s="3"/>
      <c r="U184" s="2"/>
      <c r="W184" s="6"/>
    </row>
    <row r="185" spans="2:23" x14ac:dyDescent="0.25">
      <c r="B185" s="1"/>
      <c r="C185" s="2"/>
      <c r="F185" s="3"/>
      <c r="U185" s="2"/>
      <c r="W185" s="6"/>
    </row>
    <row r="186" spans="2:23" x14ac:dyDescent="0.25">
      <c r="B186" s="1"/>
      <c r="C186" s="2"/>
      <c r="F186" s="3"/>
      <c r="U186" s="2"/>
      <c r="W186" s="6"/>
    </row>
    <row r="187" spans="2:23" x14ac:dyDescent="0.25">
      <c r="B187" s="1"/>
      <c r="C187" s="2"/>
      <c r="F187" s="3"/>
      <c r="U187" s="2"/>
      <c r="W187" s="6"/>
    </row>
    <row r="188" spans="2:23" x14ac:dyDescent="0.25">
      <c r="B188" s="1"/>
      <c r="C188" s="2"/>
      <c r="F188" s="3"/>
      <c r="U188" s="2"/>
      <c r="W188" s="6"/>
    </row>
    <row r="189" spans="2:23" x14ac:dyDescent="0.25">
      <c r="B189" s="1"/>
      <c r="C189" s="2"/>
      <c r="F189" s="3"/>
      <c r="U189" s="2"/>
      <c r="W189" s="6"/>
    </row>
    <row r="190" spans="2:23" x14ac:dyDescent="0.25">
      <c r="B190" s="1"/>
      <c r="C190" s="2"/>
      <c r="F190" s="3"/>
      <c r="U190" s="2"/>
      <c r="W190" s="6"/>
    </row>
    <row r="191" spans="2:23" x14ac:dyDescent="0.25">
      <c r="B191" s="1"/>
      <c r="C191" s="2"/>
      <c r="F191" s="3"/>
      <c r="U191" s="2"/>
      <c r="W191" s="6"/>
    </row>
    <row r="192" spans="2:23" x14ac:dyDescent="0.25">
      <c r="B192" s="1"/>
      <c r="C192" s="2"/>
      <c r="F192" s="3"/>
      <c r="U192" s="2"/>
      <c r="W192" s="6"/>
    </row>
    <row r="193" spans="2:23" x14ac:dyDescent="0.25">
      <c r="B193" s="1"/>
      <c r="C193" s="2"/>
      <c r="F193" s="3"/>
      <c r="U193" s="2"/>
      <c r="W193" s="6"/>
    </row>
    <row r="194" spans="2:23" x14ac:dyDescent="0.25">
      <c r="B194" s="1"/>
      <c r="C194" s="2"/>
      <c r="F194" s="3"/>
      <c r="U194" s="2"/>
      <c r="W194" s="6"/>
    </row>
    <row r="195" spans="2:23" x14ac:dyDescent="0.25">
      <c r="B195" s="1"/>
      <c r="C195" s="2"/>
      <c r="F195" s="3"/>
      <c r="U195" s="2"/>
      <c r="W195" s="6"/>
    </row>
    <row r="196" spans="2:23" x14ac:dyDescent="0.25">
      <c r="B196" s="1"/>
      <c r="C196" s="2"/>
      <c r="F196" s="3"/>
      <c r="U196" s="2"/>
      <c r="W196" s="6"/>
    </row>
    <row r="197" spans="2:23" x14ac:dyDescent="0.25">
      <c r="B197" s="1"/>
      <c r="C197" s="2"/>
      <c r="F197" s="3"/>
      <c r="U197" s="2"/>
      <c r="W197" s="6"/>
    </row>
    <row r="198" spans="2:23" x14ac:dyDescent="0.25">
      <c r="B198" s="1"/>
      <c r="C198" s="2"/>
      <c r="F198" s="3"/>
      <c r="U198" s="2"/>
      <c r="W198" s="6"/>
    </row>
    <row r="199" spans="2:23" x14ac:dyDescent="0.25">
      <c r="B199" s="1"/>
      <c r="C199" s="2"/>
      <c r="F199" s="3"/>
      <c r="U199" s="2"/>
      <c r="W199" s="6"/>
    </row>
    <row r="200" spans="2:23" x14ac:dyDescent="0.25">
      <c r="B200" s="1"/>
      <c r="C200" s="2"/>
      <c r="F200" s="3"/>
      <c r="U200" s="2"/>
      <c r="W200" s="6"/>
    </row>
    <row r="201" spans="2:23" x14ac:dyDescent="0.25">
      <c r="B201" s="1"/>
      <c r="C201" s="2"/>
      <c r="F201" s="3"/>
      <c r="U201" s="2"/>
      <c r="W201" s="6"/>
    </row>
    <row r="202" spans="2:23" x14ac:dyDescent="0.25">
      <c r="B202" s="1"/>
      <c r="C202" s="2"/>
      <c r="F202" s="3"/>
      <c r="U202" s="2"/>
      <c r="W202" s="6"/>
    </row>
    <row r="203" spans="2:23" x14ac:dyDescent="0.25">
      <c r="B203" s="1"/>
      <c r="C203" s="2"/>
      <c r="F203" s="3"/>
      <c r="U203" s="2"/>
      <c r="W203" s="6"/>
    </row>
    <row r="204" spans="2:23" x14ac:dyDescent="0.25">
      <c r="B204" s="1"/>
      <c r="C204" s="2"/>
      <c r="F204" s="3"/>
      <c r="U204" s="2"/>
      <c r="W204" s="6"/>
    </row>
    <row r="205" spans="2:23" x14ac:dyDescent="0.25">
      <c r="B205" s="1"/>
      <c r="C205" s="2"/>
      <c r="F205" s="3"/>
      <c r="U205" s="2"/>
      <c r="W205" s="6"/>
    </row>
    <row r="206" spans="2:23" x14ac:dyDescent="0.25">
      <c r="B206" s="1"/>
      <c r="C206" s="2"/>
      <c r="F206" s="3"/>
      <c r="U206" s="2"/>
      <c r="W206" s="6"/>
    </row>
    <row r="207" spans="2:23" x14ac:dyDescent="0.25">
      <c r="B207" s="1"/>
      <c r="C207" s="2"/>
      <c r="F207" s="3"/>
      <c r="U207" s="2"/>
      <c r="W207" s="6"/>
    </row>
    <row r="208" spans="2:23" x14ac:dyDescent="0.25">
      <c r="B208" s="1"/>
      <c r="C208" s="2"/>
      <c r="F208" s="3"/>
      <c r="U208" s="2"/>
      <c r="W208" s="6"/>
    </row>
    <row r="209" spans="2:23" x14ac:dyDescent="0.25">
      <c r="B209" s="1"/>
      <c r="C209" s="2"/>
      <c r="F209" s="3"/>
      <c r="U209" s="2"/>
      <c r="W209" s="6"/>
    </row>
    <row r="210" spans="2:23" x14ac:dyDescent="0.25">
      <c r="B210" s="1"/>
      <c r="C210" s="2"/>
      <c r="F210" s="3"/>
      <c r="U210" s="2"/>
      <c r="W210" s="6"/>
    </row>
    <row r="211" spans="2:23" x14ac:dyDescent="0.25">
      <c r="B211" s="1"/>
      <c r="C211" s="2"/>
      <c r="F211" s="3"/>
      <c r="U211" s="2"/>
      <c r="W211" s="6"/>
    </row>
    <row r="212" spans="2:23" x14ac:dyDescent="0.25">
      <c r="B212" s="1"/>
      <c r="C212" s="2"/>
      <c r="F212" s="3"/>
      <c r="U212" s="2"/>
      <c r="W212" s="6"/>
    </row>
    <row r="213" spans="2:23" x14ac:dyDescent="0.25">
      <c r="B213" s="1"/>
      <c r="C213" s="2"/>
      <c r="F213" s="3"/>
      <c r="U213" s="2"/>
      <c r="W213" s="6"/>
    </row>
    <row r="214" spans="2:23" x14ac:dyDescent="0.25">
      <c r="B214" s="1"/>
      <c r="C214" s="2"/>
      <c r="F214" s="3"/>
      <c r="U214" s="2"/>
      <c r="W214" s="6"/>
    </row>
    <row r="215" spans="2:23" x14ac:dyDescent="0.25">
      <c r="B215" s="1"/>
      <c r="C215" s="2"/>
      <c r="F215" s="3"/>
      <c r="U215" s="2"/>
      <c r="W215" s="6"/>
    </row>
    <row r="216" spans="2:23" x14ac:dyDescent="0.25">
      <c r="B216" s="1"/>
      <c r="C216" s="2"/>
      <c r="F216" s="3"/>
      <c r="U216" s="2"/>
      <c r="W216" s="6"/>
    </row>
    <row r="217" spans="2:23" x14ac:dyDescent="0.25">
      <c r="B217" s="1"/>
      <c r="C217" s="2"/>
      <c r="F217" s="3"/>
      <c r="U217" s="2"/>
      <c r="W217" s="6"/>
    </row>
    <row r="218" spans="2:23" x14ac:dyDescent="0.25">
      <c r="B218" s="1"/>
      <c r="C218" s="2"/>
      <c r="F218" s="3"/>
      <c r="U218" s="2"/>
      <c r="W218" s="6"/>
    </row>
    <row r="219" spans="2:23" x14ac:dyDescent="0.25">
      <c r="B219" s="1"/>
      <c r="C219" s="2"/>
      <c r="F219" s="3"/>
      <c r="U219" s="2"/>
      <c r="W219" s="6"/>
    </row>
    <row r="220" spans="2:23" x14ac:dyDescent="0.25">
      <c r="B220" s="1"/>
      <c r="C220" s="2"/>
      <c r="F220" s="3"/>
      <c r="U220" s="2"/>
      <c r="W220" s="6"/>
    </row>
    <row r="221" spans="2:23" x14ac:dyDescent="0.25">
      <c r="B221" s="1"/>
      <c r="C221" s="2"/>
      <c r="F221" s="3"/>
      <c r="U221" s="2"/>
      <c r="W221" s="6"/>
    </row>
    <row r="222" spans="2:23" x14ac:dyDescent="0.25">
      <c r="B222" s="1"/>
      <c r="C222" s="2"/>
      <c r="F222" s="3"/>
      <c r="U222" s="2"/>
      <c r="W222" s="6"/>
    </row>
    <row r="223" spans="2:23" x14ac:dyDescent="0.25">
      <c r="B223" s="1"/>
      <c r="C223" s="2"/>
      <c r="F223" s="3"/>
      <c r="U223" s="2"/>
      <c r="W223" s="6"/>
    </row>
    <row r="224" spans="2:23" x14ac:dyDescent="0.25">
      <c r="B224" s="1"/>
      <c r="C224" s="2"/>
      <c r="F224" s="3"/>
      <c r="U224" s="2"/>
      <c r="W224" s="6"/>
    </row>
    <row r="225" spans="2:23" x14ac:dyDescent="0.25">
      <c r="B225" s="1"/>
      <c r="C225" s="2"/>
      <c r="F225" s="3"/>
      <c r="U225" s="2"/>
      <c r="W225" s="6"/>
    </row>
    <row r="226" spans="2:23" x14ac:dyDescent="0.25">
      <c r="B226" s="1"/>
      <c r="C226" s="2"/>
      <c r="F226" s="3"/>
      <c r="U226" s="2"/>
      <c r="W226" s="6"/>
    </row>
    <row r="227" spans="2:23" x14ac:dyDescent="0.25">
      <c r="B227" s="1"/>
      <c r="C227" s="2"/>
      <c r="F227" s="3"/>
      <c r="U227" s="2"/>
      <c r="W227" s="6"/>
    </row>
    <row r="228" spans="2:23" x14ac:dyDescent="0.25">
      <c r="B228" s="1"/>
      <c r="C228" s="2"/>
      <c r="F228" s="3"/>
      <c r="U228" s="2"/>
      <c r="W228" s="6"/>
    </row>
    <row r="229" spans="2:23" x14ac:dyDescent="0.25">
      <c r="B229" s="1"/>
      <c r="C229" s="2"/>
      <c r="F229" s="3"/>
      <c r="U229" s="2"/>
      <c r="W229" s="6"/>
    </row>
    <row r="230" spans="2:23" x14ac:dyDescent="0.25">
      <c r="B230" s="1"/>
      <c r="C230" s="2"/>
      <c r="F230" s="3"/>
      <c r="U230" s="2"/>
      <c r="W230" s="6"/>
    </row>
    <row r="231" spans="2:23" x14ac:dyDescent="0.25">
      <c r="B231" s="1"/>
      <c r="C231" s="2"/>
      <c r="F231" s="3"/>
      <c r="U231" s="2"/>
      <c r="W231" s="6"/>
    </row>
    <row r="232" spans="2:23" x14ac:dyDescent="0.25">
      <c r="B232" s="1"/>
      <c r="C232" s="2"/>
      <c r="F232" s="3"/>
      <c r="U232" s="2"/>
      <c r="W232" s="6"/>
    </row>
    <row r="233" spans="2:23" x14ac:dyDescent="0.25">
      <c r="B233" s="1"/>
      <c r="C233" s="2"/>
      <c r="F233" s="3"/>
      <c r="U233" s="2"/>
      <c r="W233" s="6"/>
    </row>
    <row r="234" spans="2:23" x14ac:dyDescent="0.25">
      <c r="B234" s="1"/>
      <c r="C234" s="2"/>
      <c r="F234" s="3"/>
      <c r="U234" s="2"/>
      <c r="W234" s="6"/>
    </row>
    <row r="235" spans="2:23" x14ac:dyDescent="0.25">
      <c r="B235" s="1"/>
      <c r="C235" s="2"/>
      <c r="F235" s="3"/>
      <c r="U235" s="2"/>
      <c r="W235" s="6"/>
    </row>
    <row r="236" spans="2:23" x14ac:dyDescent="0.25">
      <c r="B236" s="1"/>
      <c r="C236" s="2"/>
      <c r="F236" s="3"/>
      <c r="U236" s="2"/>
      <c r="W236" s="6"/>
    </row>
    <row r="237" spans="2:23" x14ac:dyDescent="0.25">
      <c r="B237" s="1"/>
      <c r="C237" s="2"/>
      <c r="F237" s="3"/>
      <c r="U237" s="2"/>
      <c r="W237" s="6"/>
    </row>
    <row r="238" spans="2:23" x14ac:dyDescent="0.25">
      <c r="B238" s="1"/>
      <c r="C238" s="2"/>
      <c r="F238" s="3"/>
      <c r="U238" s="2"/>
      <c r="W238" s="6"/>
    </row>
    <row r="239" spans="2:23" x14ac:dyDescent="0.25">
      <c r="B239" s="1"/>
      <c r="C239" s="2"/>
      <c r="F239" s="3"/>
      <c r="U239" s="2"/>
      <c r="W239" s="6"/>
    </row>
    <row r="240" spans="2:23" x14ac:dyDescent="0.25">
      <c r="B240" s="1"/>
      <c r="C240" s="2"/>
      <c r="F240" s="3"/>
      <c r="U240" s="2"/>
      <c r="W240" s="6"/>
    </row>
    <row r="241" spans="2:23" x14ac:dyDescent="0.25">
      <c r="B241" s="1"/>
      <c r="C241" s="2"/>
      <c r="F241" s="3"/>
      <c r="U241" s="2"/>
      <c r="W241" s="6"/>
    </row>
    <row r="242" spans="2:23" x14ac:dyDescent="0.25">
      <c r="B242" s="1"/>
      <c r="C242" s="2"/>
      <c r="F242" s="3"/>
      <c r="U242" s="2"/>
      <c r="W242" s="6"/>
    </row>
    <row r="243" spans="2:23" x14ac:dyDescent="0.25">
      <c r="B243" s="1"/>
      <c r="C243" s="2"/>
      <c r="F243" s="3"/>
      <c r="U243" s="2"/>
      <c r="W243" s="6"/>
    </row>
    <row r="244" spans="2:23" x14ac:dyDescent="0.25">
      <c r="B244" s="1"/>
      <c r="C244" s="2"/>
      <c r="F244" s="3"/>
      <c r="U244" s="2"/>
      <c r="W244" s="6"/>
    </row>
    <row r="245" spans="2:23" x14ac:dyDescent="0.25">
      <c r="B245" s="1"/>
      <c r="C245" s="2"/>
      <c r="F245" s="3"/>
      <c r="U245" s="2"/>
      <c r="W245" s="6"/>
    </row>
    <row r="246" spans="2:23" x14ac:dyDescent="0.25">
      <c r="B246" s="1"/>
      <c r="C246" s="2"/>
      <c r="F246" s="3"/>
      <c r="U246" s="2"/>
      <c r="W246" s="6"/>
    </row>
    <row r="247" spans="2:23" x14ac:dyDescent="0.25">
      <c r="B247" s="1"/>
      <c r="C247" s="2"/>
      <c r="F247" s="3"/>
      <c r="U247" s="2"/>
      <c r="W247" s="6"/>
    </row>
    <row r="248" spans="2:23" x14ac:dyDescent="0.25">
      <c r="B248" s="1"/>
      <c r="C248" s="2"/>
      <c r="F248" s="3"/>
      <c r="U248" s="2"/>
      <c r="W248" s="6"/>
    </row>
    <row r="249" spans="2:23" x14ac:dyDescent="0.25">
      <c r="B249" s="1"/>
      <c r="C249" s="2"/>
      <c r="F249" s="3"/>
      <c r="U249" s="2"/>
      <c r="W249" s="6"/>
    </row>
    <row r="250" spans="2:23" x14ac:dyDescent="0.25">
      <c r="B250" s="1"/>
      <c r="C250" s="2"/>
      <c r="F250" s="3"/>
      <c r="U250" s="2"/>
      <c r="W250" s="6"/>
    </row>
    <row r="251" spans="2:23" x14ac:dyDescent="0.25">
      <c r="B251" s="1"/>
      <c r="C251" s="2"/>
      <c r="F251" s="3"/>
      <c r="U251" s="2"/>
      <c r="W251" s="6"/>
    </row>
    <row r="252" spans="2:23" x14ac:dyDescent="0.25">
      <c r="B252" s="1"/>
      <c r="C252" s="2"/>
      <c r="F252" s="3"/>
      <c r="U252" s="2"/>
      <c r="W252" s="6"/>
    </row>
    <row r="253" spans="2:23" x14ac:dyDescent="0.25">
      <c r="B253" s="1"/>
      <c r="C253" s="2"/>
      <c r="F253" s="3"/>
      <c r="U253" s="2"/>
      <c r="W253" s="6"/>
    </row>
    <row r="254" spans="2:23" x14ac:dyDescent="0.25">
      <c r="B254" s="1"/>
      <c r="C254" s="2"/>
      <c r="F254" s="3"/>
      <c r="U254" s="2"/>
      <c r="W254" s="6"/>
    </row>
    <row r="255" spans="2:23" x14ac:dyDescent="0.25">
      <c r="B255" s="1"/>
      <c r="C255" s="2"/>
      <c r="F255" s="3"/>
      <c r="U255" s="2"/>
      <c r="W255" s="6"/>
    </row>
    <row r="256" spans="2:23" x14ac:dyDescent="0.25">
      <c r="B256" s="1"/>
      <c r="C256" s="2"/>
      <c r="F256" s="3"/>
      <c r="U256" s="2"/>
      <c r="W256" s="6"/>
    </row>
    <row r="257" spans="2:23" x14ac:dyDescent="0.25">
      <c r="B257" s="1"/>
      <c r="C257" s="2"/>
      <c r="F257" s="3"/>
      <c r="U257" s="2"/>
      <c r="W257" s="6"/>
    </row>
    <row r="258" spans="2:23" x14ac:dyDescent="0.25">
      <c r="B258" s="1"/>
      <c r="C258" s="2"/>
      <c r="F258" s="3"/>
      <c r="U258" s="2"/>
      <c r="W258" s="6"/>
    </row>
    <row r="259" spans="2:23" x14ac:dyDescent="0.25">
      <c r="B259" s="1"/>
      <c r="C259" s="2"/>
      <c r="F259" s="3"/>
      <c r="U259" s="2"/>
      <c r="W259" s="6"/>
    </row>
    <row r="260" spans="2:23" x14ac:dyDescent="0.25">
      <c r="B260" s="1"/>
      <c r="C260" s="2"/>
      <c r="F260" s="3"/>
      <c r="U260" s="2"/>
      <c r="W260" s="6"/>
    </row>
    <row r="261" spans="2:23" x14ac:dyDescent="0.25">
      <c r="B261" s="1"/>
      <c r="C261" s="2"/>
      <c r="F261" s="3"/>
      <c r="U261" s="2"/>
      <c r="W261" s="6"/>
    </row>
    <row r="262" spans="2:23" x14ac:dyDescent="0.25">
      <c r="B262" s="1"/>
      <c r="C262" s="2"/>
      <c r="F262" s="3"/>
      <c r="U262" s="2"/>
      <c r="W262" s="6"/>
    </row>
    <row r="263" spans="2:23" x14ac:dyDescent="0.25">
      <c r="B263" s="1"/>
      <c r="C263" s="2"/>
      <c r="F263" s="3"/>
      <c r="U263" s="2"/>
      <c r="W263" s="6"/>
    </row>
    <row r="264" spans="2:23" x14ac:dyDescent="0.25">
      <c r="B264" s="1"/>
      <c r="C264" s="2"/>
      <c r="F264" s="3"/>
      <c r="U264" s="2"/>
      <c r="W264" s="6"/>
    </row>
    <row r="265" spans="2:23" x14ac:dyDescent="0.25">
      <c r="B265" s="1"/>
      <c r="C265" s="2"/>
      <c r="F265" s="3"/>
      <c r="U265" s="2"/>
      <c r="W265" s="6"/>
    </row>
    <row r="266" spans="2:23" x14ac:dyDescent="0.25">
      <c r="B266" s="1"/>
      <c r="C266" s="2"/>
      <c r="F266" s="3"/>
      <c r="U266" s="2"/>
      <c r="W266" s="6"/>
    </row>
    <row r="267" spans="2:23" x14ac:dyDescent="0.25">
      <c r="B267" s="1"/>
      <c r="C267" s="2"/>
      <c r="F267" s="3"/>
      <c r="U267" s="2"/>
      <c r="W267" s="6"/>
    </row>
    <row r="268" spans="2:23" x14ac:dyDescent="0.25">
      <c r="B268" s="1"/>
      <c r="C268" s="2"/>
      <c r="F268" s="3"/>
      <c r="U268" s="2"/>
      <c r="W268" s="6"/>
    </row>
    <row r="269" spans="2:23" x14ac:dyDescent="0.25">
      <c r="B269" s="1"/>
      <c r="C269" s="2"/>
      <c r="F269" s="3"/>
      <c r="U269" s="2"/>
      <c r="W269" s="6"/>
    </row>
    <row r="270" spans="2:23" x14ac:dyDescent="0.25">
      <c r="B270" s="1"/>
      <c r="C270" s="2"/>
      <c r="F270" s="3"/>
      <c r="U270" s="2"/>
      <c r="W270" s="6"/>
    </row>
    <row r="271" spans="2:23" x14ac:dyDescent="0.25">
      <c r="B271" s="1"/>
      <c r="C271" s="2"/>
      <c r="F271" s="3"/>
      <c r="U271" s="2"/>
      <c r="W271" s="6"/>
    </row>
    <row r="272" spans="2:23" x14ac:dyDescent="0.25">
      <c r="B272" s="1"/>
      <c r="C272" s="2"/>
      <c r="F272" s="3"/>
      <c r="U272" s="2"/>
      <c r="W272" s="6"/>
    </row>
    <row r="273" spans="2:23" x14ac:dyDescent="0.25">
      <c r="B273" s="1"/>
      <c r="C273" s="2"/>
      <c r="F273" s="3"/>
      <c r="U273" s="2"/>
      <c r="W273" s="6"/>
    </row>
    <row r="274" spans="2:23" x14ac:dyDescent="0.25">
      <c r="B274" s="1"/>
      <c r="C274" s="2"/>
      <c r="F274" s="3"/>
      <c r="U274" s="2"/>
      <c r="W274" s="6"/>
    </row>
    <row r="275" spans="2:23" x14ac:dyDescent="0.25">
      <c r="B275" s="1"/>
      <c r="C275" s="2"/>
      <c r="F275" s="3"/>
      <c r="U275" s="2"/>
      <c r="W275" s="6"/>
    </row>
    <row r="276" spans="2:23" x14ac:dyDescent="0.25">
      <c r="B276" s="1"/>
      <c r="C276" s="2"/>
      <c r="F276" s="3"/>
      <c r="U276" s="2"/>
      <c r="W276" s="6"/>
    </row>
    <row r="277" spans="2:23" x14ac:dyDescent="0.25">
      <c r="B277" s="1"/>
      <c r="C277" s="2"/>
      <c r="F277" s="3"/>
      <c r="U277" s="2"/>
      <c r="W277" s="6"/>
    </row>
    <row r="278" spans="2:23" x14ac:dyDescent="0.25">
      <c r="B278" s="1"/>
      <c r="C278" s="2"/>
      <c r="F278" s="3"/>
      <c r="U278" s="2"/>
      <c r="W278" s="6"/>
    </row>
    <row r="279" spans="2:23" x14ac:dyDescent="0.25">
      <c r="B279" s="1"/>
      <c r="C279" s="2"/>
      <c r="F279" s="3"/>
      <c r="U279" s="2"/>
      <c r="W279" s="6"/>
    </row>
    <row r="280" spans="2:23" x14ac:dyDescent="0.25">
      <c r="B280" s="1"/>
      <c r="C280" s="2"/>
      <c r="F280" s="3"/>
      <c r="U280" s="2"/>
      <c r="W280" s="6"/>
    </row>
    <row r="281" spans="2:23" x14ac:dyDescent="0.25">
      <c r="B281" s="1"/>
      <c r="C281" s="2"/>
      <c r="F281" s="3"/>
      <c r="U281" s="2"/>
      <c r="W281" s="6"/>
    </row>
    <row r="282" spans="2:23" x14ac:dyDescent="0.25">
      <c r="B282" s="1"/>
      <c r="C282" s="2"/>
      <c r="F282" s="3"/>
      <c r="U282" s="2"/>
      <c r="W282" s="6"/>
    </row>
    <row r="283" spans="2:23" x14ac:dyDescent="0.25">
      <c r="B283" s="1"/>
      <c r="C283" s="2"/>
      <c r="F283" s="3"/>
      <c r="U283" s="2"/>
      <c r="W283" s="6"/>
    </row>
    <row r="284" spans="2:23" x14ac:dyDescent="0.25">
      <c r="B284" s="1"/>
      <c r="C284" s="2"/>
      <c r="F284" s="3"/>
      <c r="U284" s="2"/>
      <c r="W284" s="6"/>
    </row>
    <row r="285" spans="2:23" x14ac:dyDescent="0.25">
      <c r="B285" s="1"/>
      <c r="C285" s="2"/>
      <c r="F285" s="3"/>
      <c r="U285" s="2"/>
      <c r="W285" s="6"/>
    </row>
    <row r="286" spans="2:23" x14ac:dyDescent="0.25">
      <c r="B286" s="1"/>
      <c r="C286" s="2"/>
      <c r="F286" s="3"/>
      <c r="U286" s="2"/>
      <c r="W286" s="6"/>
    </row>
    <row r="287" spans="2:23" x14ac:dyDescent="0.25">
      <c r="B287" s="1"/>
      <c r="C287" s="2"/>
      <c r="F287" s="3"/>
      <c r="U287" s="2"/>
      <c r="W287" s="6"/>
    </row>
    <row r="288" spans="2:23" x14ac:dyDescent="0.25">
      <c r="B288" s="1"/>
      <c r="C288" s="2"/>
      <c r="F288" s="3"/>
      <c r="U288" s="2"/>
      <c r="W288" s="6"/>
    </row>
    <row r="289" spans="2:23" x14ac:dyDescent="0.25">
      <c r="B289" s="1"/>
      <c r="C289" s="2"/>
      <c r="F289" s="3"/>
      <c r="U289" s="2"/>
      <c r="W289" s="6"/>
    </row>
    <row r="290" spans="2:23" x14ac:dyDescent="0.25">
      <c r="B290" s="1"/>
      <c r="C290" s="2"/>
      <c r="F290" s="3"/>
      <c r="U290" s="2"/>
      <c r="W290" s="6"/>
    </row>
    <row r="291" spans="2:23" x14ac:dyDescent="0.25">
      <c r="B291" s="1"/>
      <c r="C291" s="2"/>
      <c r="F291" s="3"/>
      <c r="U291" s="2"/>
      <c r="W291" s="6"/>
    </row>
    <row r="292" spans="2:23" x14ac:dyDescent="0.25">
      <c r="B292" s="1"/>
      <c r="C292" s="2"/>
      <c r="F292" s="3"/>
      <c r="U292" s="2"/>
      <c r="W292" s="6"/>
    </row>
    <row r="293" spans="2:23" x14ac:dyDescent="0.25">
      <c r="B293" s="1"/>
      <c r="C293" s="2"/>
      <c r="F293" s="3"/>
      <c r="U293" s="2"/>
      <c r="W293" s="6"/>
    </row>
    <row r="294" spans="2:23" x14ac:dyDescent="0.25">
      <c r="B294" s="1"/>
      <c r="C294" s="2"/>
      <c r="F294" s="3"/>
      <c r="U294" s="2"/>
      <c r="W294" s="6"/>
    </row>
    <row r="295" spans="2:23" x14ac:dyDescent="0.25">
      <c r="B295" s="1"/>
      <c r="C295" s="2"/>
      <c r="F295" s="3"/>
      <c r="U295" s="2"/>
      <c r="W295" s="6"/>
    </row>
    <row r="296" spans="2:23" x14ac:dyDescent="0.25">
      <c r="B296" s="1"/>
      <c r="C296" s="2"/>
      <c r="F296" s="3"/>
      <c r="U296" s="2"/>
      <c r="W296" s="6"/>
    </row>
    <row r="297" spans="2:23" x14ac:dyDescent="0.25">
      <c r="B297" s="1"/>
      <c r="C297" s="2"/>
      <c r="F297" s="3"/>
      <c r="U297" s="2"/>
      <c r="W297" s="6"/>
    </row>
    <row r="298" spans="2:23" x14ac:dyDescent="0.25">
      <c r="B298" s="1"/>
      <c r="C298" s="2"/>
      <c r="F298" s="3"/>
      <c r="U298" s="2"/>
      <c r="W298" s="6"/>
    </row>
    <row r="299" spans="2:23" x14ac:dyDescent="0.25">
      <c r="B299" s="1"/>
      <c r="C299" s="2"/>
      <c r="F299" s="3"/>
      <c r="U299" s="2"/>
      <c r="W299" s="6"/>
    </row>
    <row r="300" spans="2:23" x14ac:dyDescent="0.25">
      <c r="B300" s="1"/>
      <c r="C300" s="2"/>
      <c r="F300" s="3"/>
      <c r="U300" s="2"/>
      <c r="W300" s="6"/>
    </row>
    <row r="301" spans="2:23" x14ac:dyDescent="0.25">
      <c r="B301" s="1"/>
      <c r="C301" s="2"/>
      <c r="F301" s="3"/>
      <c r="U301" s="2"/>
      <c r="W301" s="6"/>
    </row>
    <row r="302" spans="2:23" x14ac:dyDescent="0.25">
      <c r="B302" s="1"/>
      <c r="C302" s="2"/>
      <c r="F302" s="3"/>
      <c r="U302" s="2"/>
      <c r="W302" s="6"/>
    </row>
    <row r="303" spans="2:23" x14ac:dyDescent="0.25">
      <c r="B303" s="1"/>
      <c r="C303" s="2"/>
      <c r="F303" s="3"/>
      <c r="U303" s="2"/>
      <c r="W303" s="6"/>
    </row>
    <row r="304" spans="2:23" x14ac:dyDescent="0.25">
      <c r="B304" s="1"/>
      <c r="C304" s="2"/>
      <c r="F304" s="3"/>
      <c r="U304" s="2"/>
      <c r="W304" s="6"/>
    </row>
    <row r="305" spans="2:23" x14ac:dyDescent="0.25">
      <c r="B305" s="1"/>
      <c r="C305" s="2"/>
      <c r="F305" s="3"/>
      <c r="U305" s="2"/>
      <c r="W305" s="6"/>
    </row>
    <row r="306" spans="2:23" x14ac:dyDescent="0.25">
      <c r="B306" s="1"/>
      <c r="C306" s="2"/>
      <c r="F306" s="3"/>
      <c r="U306" s="2"/>
      <c r="W306" s="6"/>
    </row>
    <row r="307" spans="2:23" x14ac:dyDescent="0.25">
      <c r="B307" s="1"/>
      <c r="C307" s="2"/>
      <c r="F307" s="3"/>
      <c r="U307" s="2"/>
      <c r="W307" s="6"/>
    </row>
    <row r="308" spans="2:23" x14ac:dyDescent="0.25">
      <c r="B308" s="1"/>
      <c r="C308" s="2"/>
      <c r="F308" s="3"/>
      <c r="U308" s="2"/>
      <c r="W308" s="6"/>
    </row>
    <row r="309" spans="2:23" x14ac:dyDescent="0.25">
      <c r="B309" s="1"/>
      <c r="C309" s="2"/>
      <c r="F309" s="3"/>
      <c r="U309" s="2"/>
      <c r="W309" s="6"/>
    </row>
    <row r="310" spans="2:23" x14ac:dyDescent="0.25">
      <c r="B310" s="1"/>
      <c r="C310" s="2"/>
      <c r="F310" s="3"/>
      <c r="U310" s="2"/>
      <c r="W310" s="6"/>
    </row>
    <row r="311" spans="2:23" x14ac:dyDescent="0.25">
      <c r="B311" s="1"/>
      <c r="C311" s="2"/>
      <c r="F311" s="3"/>
      <c r="U311" s="2"/>
      <c r="W311" s="6"/>
    </row>
    <row r="312" spans="2:23" x14ac:dyDescent="0.25">
      <c r="B312" s="1"/>
      <c r="C312" s="2"/>
      <c r="F312" s="3"/>
      <c r="U312" s="2"/>
      <c r="W312" s="6"/>
    </row>
    <row r="313" spans="2:23" x14ac:dyDescent="0.25">
      <c r="B313" s="1"/>
      <c r="C313" s="2"/>
      <c r="F313" s="3"/>
      <c r="U313" s="2"/>
      <c r="W313" s="6"/>
    </row>
    <row r="314" spans="2:23" x14ac:dyDescent="0.25">
      <c r="B314" s="1"/>
      <c r="C314" s="2"/>
      <c r="F314" s="3"/>
      <c r="U314" s="2"/>
      <c r="W314" s="6"/>
    </row>
    <row r="315" spans="2:23" x14ac:dyDescent="0.25">
      <c r="B315" s="1"/>
      <c r="C315" s="2"/>
      <c r="F315" s="3"/>
      <c r="U315" s="2"/>
      <c r="W315" s="6"/>
    </row>
    <row r="316" spans="2:23" x14ac:dyDescent="0.25">
      <c r="B316" s="1"/>
      <c r="C316" s="2"/>
      <c r="F316" s="3"/>
      <c r="U316" s="2"/>
      <c r="W316" s="6"/>
    </row>
    <row r="317" spans="2:23" x14ac:dyDescent="0.25">
      <c r="B317" s="1"/>
      <c r="C317" s="2"/>
      <c r="F317" s="3"/>
      <c r="U317" s="2"/>
      <c r="W317" s="6"/>
    </row>
    <row r="318" spans="2:23" x14ac:dyDescent="0.25">
      <c r="B318" s="1"/>
      <c r="C318" s="2"/>
      <c r="F318" s="3"/>
      <c r="U318" s="2"/>
      <c r="W318" s="6"/>
    </row>
    <row r="319" spans="2:23" x14ac:dyDescent="0.25">
      <c r="B319" s="1"/>
      <c r="C319" s="2"/>
      <c r="F319" s="3"/>
      <c r="U319" s="2"/>
      <c r="W319" s="6"/>
    </row>
    <row r="320" spans="2:23" x14ac:dyDescent="0.25">
      <c r="B320" s="1"/>
      <c r="C320" s="2"/>
      <c r="F320" s="3"/>
      <c r="U320" s="2"/>
      <c r="W320" s="6"/>
    </row>
    <row r="321" spans="2:23" x14ac:dyDescent="0.25">
      <c r="B321" s="1"/>
      <c r="C321" s="2"/>
      <c r="F321" s="3"/>
      <c r="U321" s="2"/>
      <c r="W321" s="6"/>
    </row>
    <row r="322" spans="2:23" x14ac:dyDescent="0.25">
      <c r="B322" s="1"/>
      <c r="C322" s="2"/>
      <c r="F322" s="3"/>
      <c r="U322" s="2"/>
      <c r="W322" s="6"/>
    </row>
    <row r="323" spans="2:23" x14ac:dyDescent="0.25">
      <c r="B323" s="1"/>
      <c r="C323" s="2"/>
      <c r="F323" s="3"/>
      <c r="U323" s="2"/>
      <c r="W323" s="6"/>
    </row>
    <row r="324" spans="2:23" x14ac:dyDescent="0.25">
      <c r="B324" s="1"/>
      <c r="C324" s="2"/>
      <c r="F324" s="3"/>
      <c r="U324" s="2"/>
      <c r="W324" s="6"/>
    </row>
    <row r="325" spans="2:23" x14ac:dyDescent="0.25">
      <c r="B325" s="1"/>
      <c r="C325" s="2"/>
      <c r="F325" s="3"/>
      <c r="U325" s="2"/>
      <c r="W325" s="6"/>
    </row>
    <row r="326" spans="2:23" x14ac:dyDescent="0.25">
      <c r="B326" s="1"/>
      <c r="C326" s="2"/>
      <c r="F326" s="3"/>
      <c r="U326" s="2"/>
      <c r="W326" s="6"/>
    </row>
    <row r="327" spans="2:23" x14ac:dyDescent="0.25">
      <c r="B327" s="1"/>
      <c r="C327" s="2"/>
      <c r="F327" s="3"/>
      <c r="U327" s="2"/>
      <c r="W327" s="6"/>
    </row>
    <row r="328" spans="2:23" x14ac:dyDescent="0.25">
      <c r="B328" s="1"/>
      <c r="C328" s="2"/>
      <c r="F328" s="3"/>
      <c r="U328" s="2"/>
      <c r="W328" s="6"/>
    </row>
    <row r="329" spans="2:23" x14ac:dyDescent="0.25">
      <c r="B329" s="1"/>
      <c r="C329" s="2"/>
      <c r="F329" s="3"/>
      <c r="U329" s="2"/>
      <c r="W329" s="6"/>
    </row>
    <row r="330" spans="2:23" x14ac:dyDescent="0.25">
      <c r="B330" s="1"/>
      <c r="C330" s="2"/>
      <c r="F330" s="3"/>
      <c r="U330" s="2"/>
      <c r="W330" s="6"/>
    </row>
    <row r="331" spans="2:23" x14ac:dyDescent="0.25">
      <c r="B331" s="1"/>
      <c r="C331" s="2"/>
      <c r="F331" s="3"/>
      <c r="U331" s="2"/>
      <c r="W331" s="6"/>
    </row>
    <row r="332" spans="2:23" x14ac:dyDescent="0.25">
      <c r="B332" s="1"/>
      <c r="C332" s="2"/>
      <c r="F332" s="3"/>
      <c r="U332" s="2"/>
      <c r="W332" s="6"/>
    </row>
    <row r="333" spans="2:23" x14ac:dyDescent="0.25">
      <c r="B333" s="1"/>
      <c r="C333" s="2"/>
      <c r="F333" s="3"/>
      <c r="U333" s="2"/>
      <c r="W333" s="6"/>
    </row>
    <row r="334" spans="2:23" x14ac:dyDescent="0.25">
      <c r="B334" s="1"/>
      <c r="C334" s="2"/>
      <c r="F334" s="3"/>
      <c r="U334" s="2"/>
      <c r="W334" s="6"/>
    </row>
    <row r="335" spans="2:23" x14ac:dyDescent="0.25">
      <c r="B335" s="1"/>
      <c r="C335" s="2"/>
      <c r="F335" s="3"/>
      <c r="U335" s="2"/>
      <c r="W335" s="6"/>
    </row>
    <row r="336" spans="2:23" x14ac:dyDescent="0.25">
      <c r="B336" s="1"/>
      <c r="C336" s="2"/>
      <c r="F336" s="3"/>
      <c r="U336" s="2"/>
      <c r="W336" s="6"/>
    </row>
    <row r="337" spans="2:23" x14ac:dyDescent="0.25">
      <c r="B337" s="1"/>
      <c r="C337" s="2"/>
      <c r="F337" s="3"/>
      <c r="U337" s="2"/>
      <c r="W337" s="6"/>
    </row>
    <row r="338" spans="2:23" x14ac:dyDescent="0.25">
      <c r="B338" s="1"/>
      <c r="C338" s="2"/>
      <c r="F338" s="3"/>
      <c r="U338" s="2"/>
      <c r="W338" s="6"/>
    </row>
    <row r="339" spans="2:23" x14ac:dyDescent="0.25">
      <c r="B339" s="1"/>
      <c r="C339" s="2"/>
      <c r="F339" s="3"/>
      <c r="U339" s="2"/>
      <c r="W339" s="6"/>
    </row>
    <row r="340" spans="2:23" x14ac:dyDescent="0.25">
      <c r="B340" s="1"/>
      <c r="C340" s="2"/>
      <c r="F340" s="3"/>
      <c r="U340" s="2"/>
      <c r="W340" s="6"/>
    </row>
    <row r="341" spans="2:23" x14ac:dyDescent="0.25">
      <c r="B341" s="1"/>
      <c r="C341" s="2"/>
      <c r="F341" s="3"/>
      <c r="U341" s="2"/>
      <c r="W341" s="6"/>
    </row>
    <row r="342" spans="2:23" x14ac:dyDescent="0.25">
      <c r="B342" s="1"/>
      <c r="C342" s="2"/>
      <c r="F342" s="3"/>
      <c r="U342" s="2"/>
      <c r="W342" s="6"/>
    </row>
    <row r="343" spans="2:23" x14ac:dyDescent="0.25">
      <c r="B343" s="1"/>
      <c r="C343" s="2"/>
      <c r="F343" s="3"/>
      <c r="U343" s="2"/>
      <c r="W343" s="6"/>
    </row>
    <row r="344" spans="2:23" x14ac:dyDescent="0.25">
      <c r="B344" s="1"/>
      <c r="C344" s="2"/>
      <c r="F344" s="3"/>
      <c r="U344" s="2"/>
      <c r="W344" s="6"/>
    </row>
    <row r="345" spans="2:23" x14ac:dyDescent="0.25">
      <c r="B345" s="1"/>
      <c r="C345" s="2"/>
      <c r="F345" s="3"/>
      <c r="U345" s="2"/>
      <c r="W345" s="6"/>
    </row>
    <row r="346" spans="2:23" x14ac:dyDescent="0.25">
      <c r="B346" s="1"/>
      <c r="C346" s="2"/>
      <c r="F346" s="3"/>
      <c r="U346" s="2"/>
      <c r="W346" s="6"/>
    </row>
    <row r="347" spans="2:23" x14ac:dyDescent="0.25">
      <c r="B347" s="1"/>
      <c r="C347" s="2"/>
      <c r="F347" s="3"/>
      <c r="U347" s="2"/>
      <c r="W347" s="6"/>
    </row>
    <row r="348" spans="2:23" x14ac:dyDescent="0.25">
      <c r="B348" s="1"/>
      <c r="C348" s="2"/>
      <c r="F348" s="3"/>
      <c r="U348" s="2"/>
      <c r="W348" s="6"/>
    </row>
    <row r="349" spans="2:23" x14ac:dyDescent="0.25">
      <c r="B349" s="1"/>
      <c r="C349" s="2"/>
      <c r="F349" s="3"/>
      <c r="U349" s="2"/>
      <c r="W349" s="6"/>
    </row>
    <row r="350" spans="2:23" x14ac:dyDescent="0.25">
      <c r="B350" s="1"/>
      <c r="C350" s="2"/>
      <c r="F350" s="3"/>
      <c r="U350" s="2"/>
      <c r="W350" s="6"/>
    </row>
    <row r="351" spans="2:23" x14ac:dyDescent="0.25">
      <c r="B351" s="1"/>
      <c r="C351" s="2"/>
      <c r="F351" s="3"/>
      <c r="U351" s="2"/>
      <c r="W351" s="6"/>
    </row>
    <row r="352" spans="2:23" x14ac:dyDescent="0.25">
      <c r="B352" s="1"/>
      <c r="C352" s="2"/>
      <c r="F352" s="3"/>
      <c r="U352" s="2"/>
      <c r="W352" s="6"/>
    </row>
    <row r="353" spans="2:23" x14ac:dyDescent="0.25">
      <c r="B353" s="1"/>
      <c r="C353" s="2"/>
      <c r="F353" s="3"/>
      <c r="U353" s="2"/>
      <c r="W353" s="6"/>
    </row>
    <row r="354" spans="2:23" x14ac:dyDescent="0.25">
      <c r="B354" s="1"/>
      <c r="C354" s="2"/>
      <c r="F354" s="3"/>
      <c r="U354" s="2"/>
      <c r="W354" s="6"/>
    </row>
    <row r="355" spans="2:23" x14ac:dyDescent="0.25">
      <c r="B355" s="1"/>
      <c r="C355" s="2"/>
      <c r="F355" s="3"/>
      <c r="U355" s="2"/>
      <c r="W355" s="6"/>
    </row>
    <row r="356" spans="2:23" x14ac:dyDescent="0.25">
      <c r="B356" s="1"/>
      <c r="C356" s="2"/>
      <c r="F356" s="3"/>
      <c r="U356" s="2"/>
      <c r="W356" s="6"/>
    </row>
    <row r="357" spans="2:23" x14ac:dyDescent="0.25">
      <c r="B357" s="1"/>
      <c r="C357" s="2"/>
      <c r="F357" s="3"/>
      <c r="U357" s="2"/>
      <c r="W357" s="6"/>
    </row>
    <row r="358" spans="2:23" x14ac:dyDescent="0.25">
      <c r="B358" s="1"/>
      <c r="C358" s="2"/>
      <c r="F358" s="3"/>
      <c r="U358" s="2"/>
      <c r="W358" s="6"/>
    </row>
    <row r="359" spans="2:23" x14ac:dyDescent="0.25">
      <c r="B359" s="1"/>
      <c r="C359" s="2"/>
      <c r="F359" s="3"/>
      <c r="U359" s="2"/>
      <c r="W359" s="6"/>
    </row>
    <row r="360" spans="2:23" x14ac:dyDescent="0.25">
      <c r="B360" s="1"/>
      <c r="C360" s="2"/>
      <c r="F360" s="3"/>
      <c r="U360" s="2"/>
      <c r="W360" s="6"/>
    </row>
    <row r="361" spans="2:23" x14ac:dyDescent="0.25">
      <c r="B361" s="1"/>
      <c r="C361" s="2"/>
      <c r="F361" s="3"/>
      <c r="U361" s="2"/>
      <c r="W361" s="6"/>
    </row>
    <row r="362" spans="2:23" x14ac:dyDescent="0.25">
      <c r="B362" s="1"/>
      <c r="C362" s="2"/>
      <c r="F362" s="3"/>
      <c r="U362" s="2"/>
      <c r="W362" s="6"/>
    </row>
    <row r="363" spans="2:23" x14ac:dyDescent="0.25">
      <c r="B363" s="1"/>
      <c r="C363" s="2"/>
      <c r="F363" s="3"/>
      <c r="U363" s="2"/>
      <c r="W363" s="6"/>
    </row>
    <row r="364" spans="2:23" x14ac:dyDescent="0.25">
      <c r="B364" s="1"/>
      <c r="C364" s="2"/>
      <c r="F364" s="3"/>
      <c r="U364" s="2"/>
      <c r="W364" s="6"/>
    </row>
    <row r="365" spans="2:23" x14ac:dyDescent="0.25">
      <c r="B365" s="1"/>
      <c r="C365" s="2"/>
      <c r="F365" s="3"/>
      <c r="U365" s="2"/>
      <c r="W365" s="6"/>
    </row>
    <row r="366" spans="2:23" x14ac:dyDescent="0.25">
      <c r="B366" s="1"/>
      <c r="C366" s="2"/>
      <c r="F366" s="3"/>
      <c r="U366" s="2"/>
      <c r="W366" s="6"/>
    </row>
    <row r="367" spans="2:23" x14ac:dyDescent="0.25">
      <c r="B367" s="1"/>
      <c r="C367" s="2"/>
      <c r="F367" s="3"/>
      <c r="U367" s="2"/>
      <c r="W367" s="6"/>
    </row>
    <row r="368" spans="2:23" x14ac:dyDescent="0.25">
      <c r="B368" s="1"/>
      <c r="C368" s="2"/>
      <c r="F368" s="3"/>
      <c r="U368" s="2"/>
      <c r="W368" s="6"/>
    </row>
    <row r="369" spans="2:23" x14ac:dyDescent="0.25">
      <c r="B369" s="1"/>
      <c r="C369" s="2"/>
      <c r="F369" s="3"/>
      <c r="U369" s="2"/>
      <c r="W369" s="6"/>
    </row>
    <row r="370" spans="2:23" x14ac:dyDescent="0.25">
      <c r="B370" s="1"/>
      <c r="C370" s="2"/>
      <c r="F370" s="3"/>
      <c r="U370" s="2"/>
      <c r="W370" s="6"/>
    </row>
    <row r="371" spans="2:23" x14ac:dyDescent="0.25">
      <c r="B371" s="1"/>
      <c r="C371" s="2"/>
      <c r="F371" s="3"/>
      <c r="U371" s="2"/>
      <c r="W371" s="6"/>
    </row>
    <row r="372" spans="2:23" x14ac:dyDescent="0.25">
      <c r="B372" s="1"/>
      <c r="C372" s="2"/>
      <c r="F372" s="3"/>
      <c r="U372" s="2"/>
      <c r="W372" s="6"/>
    </row>
    <row r="373" spans="2:23" x14ac:dyDescent="0.25">
      <c r="B373" s="1"/>
      <c r="C373" s="2"/>
      <c r="F373" s="3"/>
      <c r="U373" s="2"/>
      <c r="W373" s="6"/>
    </row>
    <row r="374" spans="2:23" x14ac:dyDescent="0.25">
      <c r="B374" s="1"/>
      <c r="C374" s="2"/>
      <c r="F374" s="3"/>
      <c r="U374" s="2"/>
      <c r="W374" s="6"/>
    </row>
    <row r="375" spans="2:23" x14ac:dyDescent="0.25">
      <c r="B375" s="1"/>
      <c r="C375" s="2"/>
      <c r="F375" s="3"/>
      <c r="U375" s="2"/>
      <c r="W375" s="6"/>
    </row>
    <row r="376" spans="2:23" x14ac:dyDescent="0.25">
      <c r="B376" s="1"/>
      <c r="C376" s="2"/>
      <c r="F376" s="3"/>
      <c r="U376" s="2"/>
      <c r="W376" s="6"/>
    </row>
    <row r="377" spans="2:23" x14ac:dyDescent="0.25">
      <c r="B377" s="1"/>
      <c r="C377" s="2"/>
      <c r="F377" s="3"/>
      <c r="U377" s="2"/>
      <c r="W377" s="6"/>
    </row>
    <row r="378" spans="2:23" x14ac:dyDescent="0.25">
      <c r="B378" s="1"/>
      <c r="C378" s="2"/>
      <c r="F378" s="3"/>
      <c r="U378" s="2"/>
      <c r="W378" s="6"/>
    </row>
    <row r="379" spans="2:23" x14ac:dyDescent="0.25">
      <c r="B379" s="1"/>
      <c r="C379" s="2"/>
      <c r="F379" s="3"/>
      <c r="U379" s="2"/>
      <c r="W379" s="6"/>
    </row>
    <row r="380" spans="2:23" x14ac:dyDescent="0.25">
      <c r="B380" s="1"/>
      <c r="C380" s="2"/>
      <c r="F380" s="3"/>
      <c r="U380" s="2"/>
      <c r="W380" s="6"/>
    </row>
    <row r="381" spans="2:23" x14ac:dyDescent="0.25">
      <c r="B381" s="1"/>
      <c r="C381" s="2"/>
      <c r="F381" s="3"/>
      <c r="U381" s="2"/>
      <c r="W381" s="6"/>
    </row>
    <row r="382" spans="2:23" x14ac:dyDescent="0.25">
      <c r="B382" s="1"/>
      <c r="C382" s="2"/>
      <c r="F382" s="3"/>
      <c r="U382" s="2"/>
      <c r="W382" s="6"/>
    </row>
    <row r="383" spans="2:23" x14ac:dyDescent="0.25">
      <c r="B383" s="1"/>
      <c r="C383" s="2"/>
      <c r="F383" s="3"/>
      <c r="U383" s="2"/>
      <c r="W383" s="6"/>
    </row>
    <row r="384" spans="2:23" x14ac:dyDescent="0.25">
      <c r="B384" s="1"/>
      <c r="C384" s="2"/>
      <c r="F384" s="3"/>
      <c r="U384" s="2"/>
      <c r="W384" s="6"/>
    </row>
    <row r="385" spans="2:23" x14ac:dyDescent="0.25">
      <c r="B385" s="1"/>
      <c r="C385" s="2"/>
      <c r="F385" s="3"/>
      <c r="U385" s="2"/>
      <c r="W385" s="6"/>
    </row>
    <row r="386" spans="2:23" x14ac:dyDescent="0.25">
      <c r="B386" s="1"/>
      <c r="C386" s="2"/>
      <c r="F386" s="3"/>
      <c r="U386" s="2"/>
      <c r="W386" s="6"/>
    </row>
    <row r="387" spans="2:23" x14ac:dyDescent="0.25">
      <c r="B387" s="1"/>
      <c r="C387" s="2"/>
      <c r="F387" s="3"/>
      <c r="U387" s="2"/>
      <c r="W387" s="6"/>
    </row>
    <row r="388" spans="2:23" x14ac:dyDescent="0.25">
      <c r="B388" s="1"/>
      <c r="C388" s="2"/>
      <c r="F388" s="3"/>
      <c r="U388" s="2"/>
      <c r="W388" s="6"/>
    </row>
    <row r="389" spans="2:23" x14ac:dyDescent="0.25">
      <c r="B389" s="1"/>
      <c r="C389" s="2"/>
      <c r="F389" s="3"/>
      <c r="U389" s="2"/>
      <c r="W389" s="6"/>
    </row>
    <row r="390" spans="2:23" x14ac:dyDescent="0.25">
      <c r="B390" s="1"/>
      <c r="C390" s="2"/>
      <c r="F390" s="3"/>
      <c r="U390" s="2"/>
      <c r="W390" s="6"/>
    </row>
    <row r="391" spans="2:23" x14ac:dyDescent="0.25">
      <c r="B391" s="1"/>
      <c r="C391" s="2"/>
      <c r="F391" s="3"/>
      <c r="U391" s="2"/>
      <c r="W391" s="6"/>
    </row>
    <row r="392" spans="2:23" x14ac:dyDescent="0.25">
      <c r="B392" s="1"/>
      <c r="C392" s="2"/>
      <c r="F392" s="3"/>
      <c r="U392" s="2"/>
      <c r="W392" s="6"/>
    </row>
    <row r="393" spans="2:23" x14ac:dyDescent="0.25">
      <c r="B393" s="1"/>
      <c r="C393" s="2"/>
      <c r="F393" s="3"/>
      <c r="U393" s="2"/>
      <c r="W393" s="6"/>
    </row>
    <row r="394" spans="2:23" x14ac:dyDescent="0.25">
      <c r="B394" s="1"/>
      <c r="C394" s="2"/>
      <c r="F394" s="3"/>
      <c r="U394" s="2"/>
      <c r="W394" s="6"/>
    </row>
    <row r="395" spans="2:23" x14ac:dyDescent="0.25">
      <c r="B395" s="1"/>
      <c r="C395" s="2"/>
      <c r="F395" s="3"/>
      <c r="U395" s="2"/>
      <c r="W395" s="6"/>
    </row>
    <row r="396" spans="2:23" x14ac:dyDescent="0.25">
      <c r="B396" s="1"/>
      <c r="C396" s="2"/>
      <c r="F396" s="3"/>
      <c r="U396" s="2"/>
      <c r="W396" s="6"/>
    </row>
    <row r="397" spans="2:23" x14ac:dyDescent="0.25">
      <c r="B397" s="1"/>
      <c r="C397" s="2"/>
      <c r="F397" s="3"/>
      <c r="U397" s="2"/>
      <c r="W397" s="6"/>
    </row>
    <row r="398" spans="2:23" x14ac:dyDescent="0.25">
      <c r="B398" s="1"/>
      <c r="C398" s="2"/>
      <c r="F398" s="3"/>
      <c r="U398" s="2"/>
      <c r="W398" s="6"/>
    </row>
    <row r="399" spans="2:23" x14ac:dyDescent="0.25">
      <c r="B399" s="1"/>
      <c r="C399" s="2"/>
      <c r="F399" s="3"/>
      <c r="U399" s="2"/>
      <c r="W399" s="6"/>
    </row>
    <row r="400" spans="2:23" x14ac:dyDescent="0.25">
      <c r="B400" s="1"/>
      <c r="C400" s="2"/>
      <c r="F400" s="3"/>
      <c r="U400" s="2"/>
      <c r="W400" s="6"/>
    </row>
    <row r="401" spans="2:23" x14ac:dyDescent="0.25">
      <c r="B401" s="1"/>
      <c r="C401" s="2"/>
      <c r="F401" s="3"/>
      <c r="U401" s="2"/>
      <c r="W401" s="6"/>
    </row>
    <row r="402" spans="2:23" x14ac:dyDescent="0.25">
      <c r="B402" s="1"/>
      <c r="C402" s="2"/>
      <c r="F402" s="3"/>
      <c r="U402" s="2"/>
      <c r="W402" s="6"/>
    </row>
    <row r="403" spans="2:23" x14ac:dyDescent="0.25">
      <c r="B403" s="1"/>
      <c r="C403" s="2"/>
      <c r="F403" s="3"/>
      <c r="U403" s="2"/>
      <c r="W403" s="6"/>
    </row>
    <row r="404" spans="2:23" x14ac:dyDescent="0.25">
      <c r="B404" s="1"/>
      <c r="C404" s="2"/>
      <c r="F404" s="3"/>
      <c r="U404" s="2"/>
      <c r="W404" s="6"/>
    </row>
    <row r="405" spans="2:23" x14ac:dyDescent="0.25">
      <c r="B405" s="1"/>
      <c r="C405" s="2"/>
      <c r="F405" s="3"/>
      <c r="U405" s="2"/>
      <c r="W405" s="6"/>
    </row>
    <row r="406" spans="2:23" x14ac:dyDescent="0.25">
      <c r="B406" s="1"/>
      <c r="C406" s="2"/>
      <c r="F406" s="3"/>
      <c r="U406" s="2"/>
      <c r="W406" s="6"/>
    </row>
    <row r="407" spans="2:23" x14ac:dyDescent="0.25">
      <c r="B407" s="1"/>
      <c r="C407" s="2"/>
      <c r="F407" s="3"/>
      <c r="U407" s="2"/>
      <c r="W407" s="6"/>
    </row>
    <row r="408" spans="2:23" x14ac:dyDescent="0.25">
      <c r="B408" s="1"/>
      <c r="C408" s="2"/>
      <c r="F408" s="3"/>
      <c r="U408" s="2"/>
      <c r="W408" s="6"/>
    </row>
    <row r="409" spans="2:23" x14ac:dyDescent="0.25">
      <c r="B409" s="1"/>
      <c r="C409" s="2"/>
      <c r="F409" s="3"/>
      <c r="U409" s="2"/>
      <c r="W409" s="6"/>
    </row>
    <row r="410" spans="2:23" x14ac:dyDescent="0.25">
      <c r="B410" s="1"/>
      <c r="C410" s="2"/>
      <c r="F410" s="3"/>
      <c r="U410" s="2"/>
      <c r="W410" s="6"/>
    </row>
    <row r="411" spans="2:23" x14ac:dyDescent="0.25">
      <c r="B411" s="1"/>
      <c r="C411" s="2"/>
      <c r="F411" s="3"/>
      <c r="U411" s="2"/>
      <c r="W411" s="6"/>
    </row>
    <row r="412" spans="2:23" x14ac:dyDescent="0.25">
      <c r="B412" s="1"/>
      <c r="C412" s="2"/>
      <c r="F412" s="3"/>
      <c r="U412" s="2"/>
      <c r="W412" s="6"/>
    </row>
    <row r="413" spans="2:23" x14ac:dyDescent="0.25">
      <c r="B413" s="1"/>
      <c r="C413" s="2"/>
      <c r="F413" s="3"/>
      <c r="U413" s="2"/>
      <c r="W413" s="6"/>
    </row>
    <row r="414" spans="2:23" x14ac:dyDescent="0.25">
      <c r="B414" s="1"/>
      <c r="C414" s="2"/>
      <c r="F414" s="3"/>
      <c r="U414" s="2"/>
      <c r="W414" s="6"/>
    </row>
    <row r="415" spans="2:23" x14ac:dyDescent="0.25">
      <c r="B415" s="1"/>
      <c r="C415" s="2"/>
      <c r="F415" s="3"/>
      <c r="U415" s="2"/>
      <c r="W415" s="6"/>
    </row>
    <row r="416" spans="2:23" x14ac:dyDescent="0.25">
      <c r="B416" s="1"/>
      <c r="C416" s="2"/>
      <c r="F416" s="3"/>
      <c r="U416" s="2"/>
      <c r="W416" s="6"/>
    </row>
    <row r="417" spans="2:23" x14ac:dyDescent="0.25">
      <c r="B417" s="1"/>
      <c r="C417" s="2"/>
      <c r="F417" s="3"/>
      <c r="U417" s="2"/>
      <c r="W417" s="6"/>
    </row>
    <row r="418" spans="2:23" x14ac:dyDescent="0.25">
      <c r="B418" s="1"/>
      <c r="C418" s="2"/>
      <c r="F418" s="3"/>
      <c r="U418" s="2"/>
      <c r="W418" s="6"/>
    </row>
    <row r="419" spans="2:23" x14ac:dyDescent="0.25">
      <c r="B419" s="1"/>
      <c r="C419" s="2"/>
      <c r="F419" s="3"/>
      <c r="U419" s="2"/>
      <c r="W419" s="6"/>
    </row>
    <row r="420" spans="2:23" x14ac:dyDescent="0.25">
      <c r="B420" s="1"/>
      <c r="C420" s="2"/>
      <c r="F420" s="3"/>
      <c r="U420" s="2"/>
      <c r="W420" s="6"/>
    </row>
    <row r="421" spans="2:23" x14ac:dyDescent="0.25">
      <c r="B421" s="1"/>
      <c r="C421" s="2"/>
      <c r="F421" s="3"/>
      <c r="U421" s="2"/>
      <c r="W421" s="6"/>
    </row>
    <row r="422" spans="2:23" x14ac:dyDescent="0.25">
      <c r="B422" s="1"/>
      <c r="C422" s="2"/>
      <c r="F422" s="3"/>
      <c r="U422" s="2"/>
      <c r="W422" s="6"/>
    </row>
    <row r="423" spans="2:23" x14ac:dyDescent="0.25">
      <c r="B423" s="1"/>
      <c r="C423" s="2"/>
      <c r="F423" s="3"/>
      <c r="U423" s="2"/>
      <c r="W423" s="6"/>
    </row>
    <row r="424" spans="2:23" x14ac:dyDescent="0.25">
      <c r="B424" s="1"/>
      <c r="C424" s="2"/>
      <c r="F424" s="3"/>
      <c r="U424" s="2"/>
      <c r="W424" s="6"/>
    </row>
    <row r="425" spans="2:23" x14ac:dyDescent="0.25">
      <c r="B425" s="1"/>
      <c r="C425" s="2"/>
      <c r="F425" s="3"/>
      <c r="U425" s="2"/>
      <c r="W425" s="6"/>
    </row>
    <row r="426" spans="2:23" x14ac:dyDescent="0.25">
      <c r="B426" s="1"/>
      <c r="C426" s="2"/>
      <c r="F426" s="3"/>
      <c r="U426" s="2"/>
      <c r="W426" s="6"/>
    </row>
    <row r="427" spans="2:23" x14ac:dyDescent="0.25">
      <c r="B427" s="1"/>
      <c r="C427" s="2"/>
      <c r="F427" s="3"/>
      <c r="U427" s="2"/>
      <c r="W427" s="6"/>
    </row>
    <row r="428" spans="2:23" x14ac:dyDescent="0.25">
      <c r="B428" s="1"/>
      <c r="C428" s="2"/>
      <c r="F428" s="3"/>
      <c r="U428" s="2"/>
      <c r="W428" s="6"/>
    </row>
    <row r="429" spans="2:23" x14ac:dyDescent="0.25">
      <c r="B429" s="1"/>
      <c r="C429" s="2"/>
      <c r="F429" s="3"/>
      <c r="U429" s="2"/>
      <c r="W429" s="6"/>
    </row>
    <row r="430" spans="2:23" x14ac:dyDescent="0.25">
      <c r="B430" s="1"/>
      <c r="C430" s="2"/>
      <c r="F430" s="3"/>
      <c r="U430" s="2"/>
      <c r="W430" s="6"/>
    </row>
    <row r="431" spans="2:23" x14ac:dyDescent="0.25">
      <c r="B431" s="1"/>
      <c r="C431" s="2"/>
      <c r="F431" s="3"/>
      <c r="U431" s="2"/>
      <c r="W431" s="6"/>
    </row>
    <row r="432" spans="2:23" x14ac:dyDescent="0.25">
      <c r="B432" s="1"/>
      <c r="C432" s="2"/>
      <c r="F432" s="3"/>
      <c r="U432" s="2"/>
      <c r="W432" s="6"/>
    </row>
    <row r="433" spans="2:23" x14ac:dyDescent="0.25">
      <c r="B433" s="1"/>
      <c r="C433" s="2"/>
      <c r="F433" s="3"/>
      <c r="U433" s="2"/>
      <c r="W433" s="6"/>
    </row>
    <row r="434" spans="2:23" x14ac:dyDescent="0.25">
      <c r="B434" s="1"/>
      <c r="C434" s="2"/>
      <c r="F434" s="3"/>
      <c r="U434" s="2"/>
      <c r="W434" s="6"/>
    </row>
    <row r="435" spans="2:23" x14ac:dyDescent="0.25">
      <c r="B435" s="1"/>
      <c r="C435" s="2"/>
      <c r="F435" s="3"/>
      <c r="U435" s="2"/>
      <c r="W435" s="6"/>
    </row>
    <row r="436" spans="2:23" x14ac:dyDescent="0.25">
      <c r="B436" s="1"/>
      <c r="C436" s="2"/>
      <c r="F436" s="3"/>
      <c r="U436" s="2"/>
      <c r="W436" s="6"/>
    </row>
    <row r="437" spans="2:23" x14ac:dyDescent="0.25">
      <c r="B437" s="1"/>
      <c r="C437" s="2"/>
      <c r="F437" s="3"/>
      <c r="U437" s="2"/>
      <c r="W437" s="6"/>
    </row>
    <row r="438" spans="2:23" x14ac:dyDescent="0.25">
      <c r="B438" s="1"/>
      <c r="C438" s="2"/>
      <c r="F438" s="3"/>
      <c r="U438" s="2"/>
      <c r="W438" s="6"/>
    </row>
    <row r="439" spans="2:23" x14ac:dyDescent="0.25">
      <c r="B439" s="1"/>
      <c r="C439" s="2"/>
      <c r="F439" s="3"/>
      <c r="U439" s="2"/>
      <c r="W439" s="6"/>
    </row>
    <row r="440" spans="2:23" x14ac:dyDescent="0.25">
      <c r="B440" s="1"/>
      <c r="C440" s="2"/>
      <c r="F440" s="3"/>
      <c r="U440" s="2"/>
      <c r="W440" s="6"/>
    </row>
    <row r="441" spans="2:23" x14ac:dyDescent="0.25">
      <c r="B441" s="1"/>
      <c r="C441" s="2"/>
      <c r="F441" s="3"/>
      <c r="U441" s="2"/>
      <c r="W441" s="6"/>
    </row>
    <row r="442" spans="2:23" x14ac:dyDescent="0.25">
      <c r="B442" s="1"/>
      <c r="C442" s="2"/>
      <c r="F442" s="3"/>
      <c r="U442" s="2"/>
      <c r="W442" s="6"/>
    </row>
    <row r="443" spans="2:23" x14ac:dyDescent="0.25">
      <c r="B443" s="1"/>
      <c r="C443" s="2"/>
      <c r="F443" s="3"/>
      <c r="U443" s="2"/>
      <c r="W443" s="6"/>
    </row>
    <row r="444" spans="2:23" x14ac:dyDescent="0.25">
      <c r="B444" s="1"/>
      <c r="C444" s="2"/>
      <c r="F444" s="3"/>
      <c r="U444" s="2"/>
      <c r="W444" s="6"/>
    </row>
    <row r="445" spans="2:23" x14ac:dyDescent="0.25">
      <c r="B445" s="1"/>
      <c r="C445" s="2"/>
      <c r="F445" s="3"/>
      <c r="U445" s="2"/>
      <c r="W445" s="6"/>
    </row>
    <row r="446" spans="2:23" x14ac:dyDescent="0.25">
      <c r="B446" s="1"/>
      <c r="C446" s="2"/>
      <c r="F446" s="3"/>
      <c r="U446" s="2"/>
      <c r="W446" s="6"/>
    </row>
    <row r="447" spans="2:23" x14ac:dyDescent="0.25">
      <c r="B447" s="1"/>
      <c r="C447" s="2"/>
      <c r="F447" s="3"/>
      <c r="U447" s="2"/>
      <c r="W447" s="6"/>
    </row>
    <row r="448" spans="2:23" x14ac:dyDescent="0.25">
      <c r="B448" s="1"/>
      <c r="C448" s="2"/>
      <c r="F448" s="3"/>
      <c r="U448" s="2"/>
      <c r="W448" s="6"/>
    </row>
    <row r="449" spans="2:23" x14ac:dyDescent="0.25">
      <c r="B449" s="1"/>
      <c r="C449" s="2"/>
      <c r="F449" s="3"/>
      <c r="U449" s="2"/>
      <c r="W449" s="6"/>
    </row>
    <row r="450" spans="2:23" x14ac:dyDescent="0.25">
      <c r="B450" s="1"/>
      <c r="C450" s="2"/>
      <c r="F450" s="3"/>
      <c r="U450" s="2"/>
      <c r="W450" s="6"/>
    </row>
    <row r="451" spans="2:23" x14ac:dyDescent="0.25">
      <c r="B451" s="1"/>
      <c r="C451" s="2"/>
      <c r="F451" s="3"/>
      <c r="U451" s="2"/>
      <c r="W451" s="6"/>
    </row>
    <row r="452" spans="2:23" x14ac:dyDescent="0.25">
      <c r="B452" s="1"/>
      <c r="C452" s="2"/>
      <c r="F452" s="3"/>
      <c r="U452" s="2"/>
      <c r="W452" s="6"/>
    </row>
    <row r="453" spans="2:23" x14ac:dyDescent="0.25">
      <c r="B453" s="1"/>
      <c r="C453" s="2"/>
      <c r="F453" s="3"/>
      <c r="U453" s="2"/>
      <c r="W453" s="6"/>
    </row>
    <row r="454" spans="2:23" x14ac:dyDescent="0.25">
      <c r="B454" s="1"/>
      <c r="C454" s="2"/>
      <c r="F454" s="3"/>
      <c r="U454" s="2"/>
      <c r="W454" s="6"/>
    </row>
    <row r="455" spans="2:23" x14ac:dyDescent="0.25">
      <c r="B455" s="1"/>
      <c r="C455" s="2"/>
      <c r="F455" s="3"/>
      <c r="U455" s="2"/>
      <c r="W455" s="6"/>
    </row>
    <row r="456" spans="2:23" x14ac:dyDescent="0.25">
      <c r="B456" s="1"/>
      <c r="C456" s="2"/>
      <c r="F456" s="3"/>
      <c r="U456" s="2"/>
      <c r="W456" s="6"/>
    </row>
    <row r="457" spans="2:23" x14ac:dyDescent="0.25">
      <c r="B457" s="1"/>
      <c r="C457" s="2"/>
      <c r="F457" s="3"/>
      <c r="U457" s="2"/>
      <c r="W457" s="6"/>
    </row>
    <row r="458" spans="2:23" x14ac:dyDescent="0.25">
      <c r="B458" s="1"/>
      <c r="C458" s="2"/>
      <c r="F458" s="3"/>
      <c r="U458" s="2"/>
      <c r="W458" s="6"/>
    </row>
    <row r="459" spans="2:23" x14ac:dyDescent="0.25">
      <c r="B459" s="1"/>
      <c r="C459" s="2"/>
      <c r="F459" s="3"/>
      <c r="U459" s="2"/>
      <c r="W459" s="6"/>
    </row>
    <row r="460" spans="2:23" x14ac:dyDescent="0.25">
      <c r="B460" s="1"/>
      <c r="C460" s="2"/>
      <c r="F460" s="3"/>
      <c r="U460" s="2"/>
      <c r="W460" s="6"/>
    </row>
    <row r="461" spans="2:23" x14ac:dyDescent="0.25">
      <c r="B461" s="1"/>
      <c r="C461" s="2"/>
      <c r="F461" s="3"/>
      <c r="U461" s="2"/>
      <c r="W461" s="6"/>
    </row>
    <row r="462" spans="2:23" x14ac:dyDescent="0.25">
      <c r="B462" s="1"/>
      <c r="C462" s="2"/>
      <c r="F462" s="3"/>
      <c r="U462" s="2"/>
      <c r="W462" s="6"/>
    </row>
    <row r="463" spans="2:23" x14ac:dyDescent="0.25">
      <c r="B463" s="1"/>
      <c r="C463" s="2"/>
      <c r="F463" s="3"/>
      <c r="U463" s="2"/>
      <c r="W463" s="6"/>
    </row>
    <row r="464" spans="2:23" x14ac:dyDescent="0.25">
      <c r="B464" s="1"/>
      <c r="C464" s="2"/>
      <c r="F464" s="3"/>
      <c r="U464" s="2"/>
      <c r="W464" s="6"/>
    </row>
    <row r="465" spans="2:23" x14ac:dyDescent="0.25">
      <c r="B465" s="1"/>
      <c r="C465" s="2"/>
      <c r="F465" s="3"/>
      <c r="U465" s="2"/>
      <c r="W465" s="6"/>
    </row>
    <row r="466" spans="2:23" x14ac:dyDescent="0.25">
      <c r="B466" s="1"/>
      <c r="C466" s="2"/>
      <c r="F466" s="3"/>
      <c r="U466" s="2"/>
      <c r="W466" s="6"/>
    </row>
    <row r="467" spans="2:23" x14ac:dyDescent="0.25">
      <c r="B467" s="1"/>
      <c r="C467" s="2"/>
      <c r="F467" s="3"/>
      <c r="U467" s="2"/>
      <c r="W467" s="6"/>
    </row>
    <row r="468" spans="2:23" x14ac:dyDescent="0.25">
      <c r="B468" s="1"/>
      <c r="C468" s="2"/>
      <c r="F468" s="3"/>
      <c r="U468" s="2"/>
      <c r="W468" s="6"/>
    </row>
    <row r="469" spans="2:23" x14ac:dyDescent="0.25">
      <c r="B469" s="1"/>
      <c r="C469" s="2"/>
      <c r="F469" s="3"/>
      <c r="U469" s="2"/>
      <c r="W469" s="6"/>
    </row>
    <row r="470" spans="2:23" x14ac:dyDescent="0.25">
      <c r="B470" s="1"/>
      <c r="C470" s="2"/>
      <c r="F470" s="3"/>
      <c r="U470" s="2"/>
      <c r="W470" s="6"/>
    </row>
    <row r="471" spans="2:23" x14ac:dyDescent="0.25">
      <c r="B471" s="1"/>
      <c r="C471" s="2"/>
      <c r="F471" s="3"/>
      <c r="U471" s="2"/>
      <c r="W471" s="6"/>
    </row>
    <row r="472" spans="2:23" x14ac:dyDescent="0.25">
      <c r="B472" s="1"/>
      <c r="C472" s="2"/>
      <c r="F472" s="3"/>
      <c r="U472" s="2"/>
      <c r="W472" s="6"/>
    </row>
    <row r="473" spans="2:23" x14ac:dyDescent="0.25">
      <c r="B473" s="1"/>
      <c r="C473" s="2"/>
      <c r="F473" s="3"/>
      <c r="U473" s="2"/>
      <c r="W473" s="6"/>
    </row>
    <row r="474" spans="2:23" x14ac:dyDescent="0.25">
      <c r="B474" s="1"/>
      <c r="C474" s="2"/>
      <c r="F474" s="3"/>
      <c r="U474" s="2"/>
      <c r="W474" s="6"/>
    </row>
    <row r="475" spans="2:23" x14ac:dyDescent="0.25">
      <c r="B475" s="1"/>
      <c r="C475" s="2"/>
      <c r="F475" s="3"/>
      <c r="U475" s="2"/>
      <c r="W475" s="6"/>
    </row>
    <row r="476" spans="2:23" x14ac:dyDescent="0.25">
      <c r="B476" s="1"/>
      <c r="C476" s="2"/>
      <c r="F476" s="3"/>
      <c r="U476" s="2"/>
      <c r="W476" s="6"/>
    </row>
    <row r="477" spans="2:23" x14ac:dyDescent="0.25">
      <c r="B477" s="1"/>
      <c r="C477" s="2"/>
      <c r="F477" s="3"/>
      <c r="U477" s="2"/>
      <c r="W477" s="6"/>
    </row>
    <row r="478" spans="2:23" x14ac:dyDescent="0.25">
      <c r="B478" s="1"/>
      <c r="C478" s="2"/>
      <c r="F478" s="3"/>
      <c r="U478" s="2"/>
      <c r="W478" s="6"/>
    </row>
    <row r="479" spans="2:23" x14ac:dyDescent="0.25">
      <c r="B479" s="1"/>
      <c r="C479" s="2"/>
      <c r="F479" s="3"/>
      <c r="U479" s="2"/>
      <c r="W479" s="6"/>
    </row>
    <row r="480" spans="2:23" x14ac:dyDescent="0.25">
      <c r="B480" s="1"/>
      <c r="C480" s="2"/>
      <c r="F480" s="3"/>
      <c r="U480" s="2"/>
      <c r="W480" s="6"/>
    </row>
    <row r="481" spans="2:23" x14ac:dyDescent="0.25">
      <c r="B481" s="1"/>
      <c r="C481" s="2"/>
      <c r="F481" s="3"/>
      <c r="U481" s="2"/>
      <c r="W481" s="6"/>
    </row>
    <row r="482" spans="2:23" x14ac:dyDescent="0.25">
      <c r="B482" s="1"/>
      <c r="C482" s="2"/>
      <c r="F482" s="3"/>
      <c r="U482" s="2"/>
      <c r="W482" s="6"/>
    </row>
    <row r="483" spans="2:23" x14ac:dyDescent="0.25">
      <c r="B483" s="1"/>
      <c r="C483" s="2"/>
      <c r="F483" s="3"/>
      <c r="U483" s="2"/>
      <c r="W483" s="6"/>
    </row>
    <row r="484" spans="2:23" x14ac:dyDescent="0.25">
      <c r="B484" s="1"/>
      <c r="C484" s="2"/>
      <c r="F484" s="3"/>
      <c r="U484" s="2"/>
      <c r="W484" s="6"/>
    </row>
    <row r="485" spans="2:23" x14ac:dyDescent="0.25">
      <c r="B485" s="1"/>
      <c r="C485" s="2"/>
      <c r="F485" s="3"/>
      <c r="U485" s="2"/>
      <c r="W485" s="6"/>
    </row>
    <row r="486" spans="2:23" x14ac:dyDescent="0.25">
      <c r="B486" s="1"/>
      <c r="C486" s="2"/>
      <c r="F486" s="3"/>
      <c r="U486" s="2"/>
      <c r="W486" s="6"/>
    </row>
    <row r="487" spans="2:23" x14ac:dyDescent="0.25">
      <c r="B487" s="1"/>
      <c r="C487" s="2"/>
      <c r="F487" s="3"/>
      <c r="U487" s="2"/>
      <c r="W487" s="6"/>
    </row>
    <row r="488" spans="2:23" x14ac:dyDescent="0.25">
      <c r="B488" s="1"/>
      <c r="C488" s="2"/>
      <c r="F488" s="3"/>
      <c r="U488" s="2"/>
      <c r="W488" s="6"/>
    </row>
    <row r="489" spans="2:23" x14ac:dyDescent="0.25">
      <c r="B489" s="1"/>
      <c r="C489" s="2"/>
      <c r="F489" s="3"/>
      <c r="U489" s="2"/>
      <c r="W489" s="6"/>
    </row>
    <row r="490" spans="2:23" x14ac:dyDescent="0.25">
      <c r="B490" s="1"/>
      <c r="C490" s="2"/>
      <c r="F490" s="3"/>
      <c r="U490" s="2"/>
      <c r="W490" s="6"/>
    </row>
    <row r="491" spans="2:23" x14ac:dyDescent="0.25">
      <c r="B491" s="1"/>
      <c r="C491" s="2"/>
      <c r="F491" s="3"/>
      <c r="U491" s="2"/>
      <c r="W491" s="6"/>
    </row>
    <row r="492" spans="2:23" x14ac:dyDescent="0.25">
      <c r="B492" s="1"/>
      <c r="C492" s="2"/>
      <c r="F492" s="3"/>
      <c r="U492" s="2"/>
      <c r="W492" s="6"/>
    </row>
    <row r="493" spans="2:23" x14ac:dyDescent="0.25">
      <c r="B493" s="1"/>
      <c r="C493" s="2"/>
      <c r="F493" s="3"/>
      <c r="U493" s="2"/>
      <c r="W493" s="6"/>
    </row>
    <row r="494" spans="2:23" x14ac:dyDescent="0.25">
      <c r="B494" s="1"/>
      <c r="C494" s="2"/>
      <c r="F494" s="3"/>
      <c r="U494" s="2"/>
      <c r="W494" s="6"/>
    </row>
    <row r="495" spans="2:23" x14ac:dyDescent="0.25">
      <c r="B495" s="1"/>
      <c r="C495" s="2"/>
      <c r="F495" s="3"/>
      <c r="U495" s="2"/>
      <c r="W495" s="6"/>
    </row>
    <row r="496" spans="2:23" x14ac:dyDescent="0.25">
      <c r="B496" s="1"/>
      <c r="C496" s="2"/>
      <c r="F496" s="3"/>
      <c r="U496" s="2"/>
      <c r="W496" s="6"/>
    </row>
    <row r="497" spans="2:23" x14ac:dyDescent="0.25">
      <c r="B497" s="1"/>
      <c r="C497" s="2"/>
      <c r="F497" s="3"/>
      <c r="U497" s="2"/>
      <c r="W497" s="6"/>
    </row>
    <row r="498" spans="2:23" x14ac:dyDescent="0.25">
      <c r="B498" s="1"/>
      <c r="C498" s="2"/>
      <c r="F498" s="3"/>
      <c r="U498" s="2"/>
      <c r="W498" s="6"/>
    </row>
    <row r="499" spans="2:23" x14ac:dyDescent="0.25">
      <c r="B499" s="1"/>
      <c r="C499" s="2"/>
      <c r="F499" s="3"/>
      <c r="U499" s="2"/>
      <c r="W499" s="6"/>
    </row>
    <row r="500" spans="2:23" x14ac:dyDescent="0.25">
      <c r="B500" s="1"/>
      <c r="C500" s="2"/>
      <c r="F500" s="3"/>
      <c r="U500" s="2"/>
      <c r="W500" s="6"/>
    </row>
    <row r="501" spans="2:23" x14ac:dyDescent="0.25">
      <c r="B501" s="1"/>
      <c r="C501" s="2"/>
      <c r="F501" s="3"/>
      <c r="U501" s="2"/>
      <c r="W501" s="6"/>
    </row>
    <row r="502" spans="2:23" x14ac:dyDescent="0.25">
      <c r="B502" s="1"/>
      <c r="C502" s="2"/>
      <c r="F502" s="3"/>
      <c r="U502" s="2"/>
      <c r="W502" s="6"/>
    </row>
    <row r="503" spans="2:23" x14ac:dyDescent="0.25">
      <c r="B503" s="1"/>
      <c r="C503" s="2"/>
      <c r="F503" s="3"/>
      <c r="U503" s="2"/>
      <c r="W503" s="6"/>
    </row>
    <row r="504" spans="2:23" x14ac:dyDescent="0.25">
      <c r="B504" s="1"/>
      <c r="C504" s="2"/>
      <c r="F504" s="3"/>
      <c r="U504" s="2"/>
      <c r="W504" s="6"/>
    </row>
    <row r="505" spans="2:23" x14ac:dyDescent="0.25">
      <c r="B505" s="1"/>
      <c r="C505" s="2"/>
      <c r="F505" s="3"/>
      <c r="U505" s="2"/>
      <c r="W505" s="6"/>
    </row>
    <row r="506" spans="2:23" x14ac:dyDescent="0.25">
      <c r="B506" s="1"/>
      <c r="C506" s="2"/>
      <c r="F506" s="3"/>
      <c r="U506" s="2"/>
      <c r="W506" s="6"/>
    </row>
    <row r="507" spans="2:23" x14ac:dyDescent="0.25">
      <c r="B507" s="1"/>
      <c r="C507" s="2"/>
      <c r="F507" s="3"/>
      <c r="U507" s="2"/>
      <c r="W507" s="6"/>
    </row>
    <row r="508" spans="2:23" x14ac:dyDescent="0.25">
      <c r="B508" s="1"/>
      <c r="C508" s="2"/>
      <c r="F508" s="3"/>
      <c r="U508" s="2"/>
      <c r="W508" s="6"/>
    </row>
    <row r="509" spans="2:23" x14ac:dyDescent="0.25">
      <c r="B509" s="1"/>
      <c r="C509" s="2"/>
      <c r="F509" s="3"/>
      <c r="U509" s="2"/>
      <c r="W509" s="6"/>
    </row>
    <row r="510" spans="2:23" x14ac:dyDescent="0.25">
      <c r="B510" s="1"/>
      <c r="C510" s="2"/>
      <c r="F510" s="3"/>
      <c r="U510" s="2"/>
      <c r="W510" s="6"/>
    </row>
    <row r="511" spans="2:23" x14ac:dyDescent="0.25">
      <c r="B511" s="1"/>
      <c r="C511" s="2"/>
      <c r="F511" s="3"/>
      <c r="U511" s="2"/>
      <c r="W511" s="6"/>
    </row>
    <row r="512" spans="2:23" x14ac:dyDescent="0.25">
      <c r="B512" s="1"/>
      <c r="C512" s="2"/>
      <c r="F512" s="3"/>
      <c r="U512" s="2"/>
      <c r="W512" s="6"/>
    </row>
    <row r="513" spans="2:23" x14ac:dyDescent="0.25">
      <c r="B513" s="1"/>
      <c r="C513" s="2"/>
      <c r="F513" s="3"/>
      <c r="U513" s="2"/>
      <c r="W513" s="6"/>
    </row>
    <row r="514" spans="2:23" x14ac:dyDescent="0.25">
      <c r="B514" s="1"/>
      <c r="C514" s="2"/>
      <c r="F514" s="3"/>
      <c r="U514" s="2"/>
      <c r="W514" s="6"/>
    </row>
    <row r="515" spans="2:23" x14ac:dyDescent="0.25">
      <c r="B515" s="1"/>
      <c r="C515" s="2"/>
      <c r="F515" s="3"/>
      <c r="U515" s="2"/>
      <c r="W515" s="6"/>
    </row>
    <row r="516" spans="2:23" x14ac:dyDescent="0.25">
      <c r="B516" s="1"/>
      <c r="C516" s="2"/>
      <c r="F516" s="3"/>
      <c r="U516" s="2"/>
      <c r="W516" s="6"/>
    </row>
    <row r="517" spans="2:23" x14ac:dyDescent="0.25">
      <c r="B517" s="1"/>
      <c r="C517" s="2"/>
      <c r="F517" s="3"/>
      <c r="U517" s="2"/>
      <c r="W517" s="6"/>
    </row>
    <row r="518" spans="2:23" x14ac:dyDescent="0.25">
      <c r="B518" s="1"/>
      <c r="C518" s="2"/>
      <c r="F518" s="3"/>
      <c r="U518" s="2"/>
      <c r="W518" s="6"/>
    </row>
    <row r="519" spans="2:23" x14ac:dyDescent="0.25">
      <c r="B519" s="1"/>
      <c r="C519" s="2"/>
      <c r="F519" s="3"/>
      <c r="U519" s="2"/>
      <c r="W519" s="6"/>
    </row>
    <row r="520" spans="2:23" x14ac:dyDescent="0.25">
      <c r="B520" s="1"/>
      <c r="C520" s="2"/>
      <c r="F520" s="3"/>
      <c r="U520" s="2"/>
      <c r="W520" s="6"/>
    </row>
    <row r="521" spans="2:23" x14ac:dyDescent="0.25">
      <c r="B521" s="1"/>
      <c r="C521" s="2"/>
      <c r="F521" s="3"/>
      <c r="U521" s="2"/>
      <c r="W521" s="6"/>
    </row>
    <row r="522" spans="2:23" x14ac:dyDescent="0.25">
      <c r="B522" s="1"/>
      <c r="C522" s="2"/>
      <c r="F522" s="3"/>
      <c r="U522" s="2"/>
      <c r="W522" s="6"/>
    </row>
    <row r="523" spans="2:23" x14ac:dyDescent="0.25">
      <c r="B523" s="1"/>
      <c r="C523" s="2"/>
      <c r="F523" s="3"/>
      <c r="U523" s="2"/>
      <c r="W523" s="6"/>
    </row>
    <row r="524" spans="2:23" x14ac:dyDescent="0.25">
      <c r="B524" s="1"/>
      <c r="C524" s="2"/>
      <c r="F524" s="3"/>
      <c r="U524" s="2"/>
      <c r="W524" s="6"/>
    </row>
    <row r="525" spans="2:23" x14ac:dyDescent="0.25">
      <c r="B525" s="1"/>
      <c r="C525" s="2"/>
      <c r="F525" s="3"/>
      <c r="U525" s="2"/>
      <c r="W525" s="6"/>
    </row>
    <row r="526" spans="2:23" x14ac:dyDescent="0.25">
      <c r="B526" s="1"/>
      <c r="C526" s="2"/>
      <c r="F526" s="3"/>
      <c r="U526" s="2"/>
      <c r="W526" s="6"/>
    </row>
    <row r="527" spans="2:23" x14ac:dyDescent="0.25">
      <c r="B527" s="1"/>
      <c r="C527" s="2"/>
      <c r="F527" s="3"/>
      <c r="U527" s="2"/>
      <c r="W527" s="6"/>
    </row>
    <row r="528" spans="2:23" x14ac:dyDescent="0.25">
      <c r="B528" s="1"/>
      <c r="C528" s="2"/>
      <c r="F528" s="3"/>
      <c r="U528" s="2"/>
      <c r="W528" s="6"/>
    </row>
    <row r="529" spans="2:23" x14ac:dyDescent="0.25">
      <c r="B529" s="1"/>
      <c r="C529" s="2"/>
      <c r="F529" s="3"/>
      <c r="U529" s="2"/>
      <c r="W529" s="6"/>
    </row>
    <row r="530" spans="2:23" x14ac:dyDescent="0.25">
      <c r="B530" s="1"/>
      <c r="C530" s="2"/>
      <c r="F530" s="3"/>
      <c r="U530" s="2"/>
      <c r="W530" s="6"/>
    </row>
    <row r="531" spans="2:23" x14ac:dyDescent="0.25">
      <c r="B531" s="1"/>
      <c r="C531" s="2"/>
      <c r="F531" s="3"/>
      <c r="U531" s="2"/>
      <c r="W531" s="6"/>
    </row>
    <row r="532" spans="2:23" x14ac:dyDescent="0.25">
      <c r="B532" s="1"/>
      <c r="C532" s="2"/>
      <c r="F532" s="3"/>
      <c r="U532" s="2"/>
      <c r="W532" s="6"/>
    </row>
    <row r="533" spans="2:23" x14ac:dyDescent="0.25">
      <c r="B533" s="1"/>
      <c r="C533" s="2"/>
      <c r="F533" s="3"/>
      <c r="U533" s="2"/>
      <c r="W533" s="6"/>
    </row>
    <row r="534" spans="2:23" x14ac:dyDescent="0.25">
      <c r="B534" s="1"/>
      <c r="C534" s="2"/>
      <c r="F534" s="3"/>
      <c r="U534" s="2"/>
      <c r="W534" s="6"/>
    </row>
    <row r="535" spans="2:23" x14ac:dyDescent="0.25">
      <c r="B535" s="1"/>
      <c r="C535" s="2"/>
      <c r="F535" s="3"/>
      <c r="U535" s="2"/>
      <c r="W535" s="6"/>
    </row>
    <row r="536" spans="2:23" x14ac:dyDescent="0.25">
      <c r="B536" s="1"/>
      <c r="C536" s="2"/>
      <c r="F536" s="3"/>
      <c r="U536" s="2"/>
      <c r="W536" s="6"/>
    </row>
    <row r="537" spans="2:23" x14ac:dyDescent="0.25">
      <c r="B537" s="1"/>
      <c r="C537" s="2"/>
      <c r="F537" s="3"/>
      <c r="U537" s="2"/>
      <c r="W537" s="6"/>
    </row>
    <row r="538" spans="2:23" x14ac:dyDescent="0.25">
      <c r="B538" s="1"/>
      <c r="C538" s="2"/>
      <c r="F538" s="3"/>
      <c r="U538" s="2"/>
      <c r="W538" s="6"/>
    </row>
    <row r="539" spans="2:23" x14ac:dyDescent="0.25">
      <c r="B539" s="1"/>
      <c r="C539" s="2"/>
      <c r="F539" s="3"/>
      <c r="U539" s="2"/>
      <c r="W539" s="6"/>
    </row>
    <row r="540" spans="2:23" x14ac:dyDescent="0.25">
      <c r="B540" s="1"/>
      <c r="C540" s="2"/>
      <c r="F540" s="3"/>
      <c r="U540" s="2"/>
      <c r="W540" s="6"/>
    </row>
    <row r="541" spans="2:23" x14ac:dyDescent="0.25">
      <c r="B541" s="1"/>
      <c r="C541" s="2"/>
      <c r="F541" s="3"/>
      <c r="U541" s="2"/>
      <c r="W541" s="6"/>
    </row>
    <row r="542" spans="2:23" x14ac:dyDescent="0.25">
      <c r="B542" s="1"/>
      <c r="C542" s="2"/>
      <c r="F542" s="3"/>
      <c r="U542" s="2"/>
      <c r="W542" s="6"/>
    </row>
    <row r="543" spans="2:23" x14ac:dyDescent="0.25">
      <c r="B543" s="1"/>
      <c r="C543" s="2"/>
      <c r="F543" s="3"/>
      <c r="U543" s="2"/>
      <c r="W543" s="6"/>
    </row>
    <row r="544" spans="2:23" x14ac:dyDescent="0.25">
      <c r="B544" s="1"/>
      <c r="C544" s="2"/>
      <c r="F544" s="3"/>
      <c r="U544" s="2"/>
      <c r="W544" s="6"/>
    </row>
    <row r="545" spans="2:23" x14ac:dyDescent="0.25">
      <c r="B545" s="1"/>
      <c r="C545" s="2"/>
      <c r="F545" s="3"/>
      <c r="U545" s="2"/>
      <c r="W545" s="6"/>
    </row>
    <row r="546" spans="2:23" x14ac:dyDescent="0.25">
      <c r="B546" s="1"/>
      <c r="C546" s="2"/>
      <c r="F546" s="3"/>
      <c r="U546" s="2"/>
      <c r="W546" s="6"/>
    </row>
    <row r="547" spans="2:23" x14ac:dyDescent="0.25">
      <c r="B547" s="1"/>
      <c r="C547" s="2"/>
      <c r="F547" s="3"/>
      <c r="U547" s="2"/>
      <c r="W547" s="6"/>
    </row>
    <row r="548" spans="2:23" x14ac:dyDescent="0.25">
      <c r="B548" s="1"/>
      <c r="C548" s="2"/>
      <c r="F548" s="3"/>
      <c r="U548" s="2"/>
      <c r="W548" s="6"/>
    </row>
    <row r="549" spans="2:23" x14ac:dyDescent="0.25">
      <c r="B549" s="1"/>
      <c r="C549" s="2"/>
      <c r="F549" s="3"/>
      <c r="U549" s="2"/>
      <c r="W549" s="6"/>
    </row>
    <row r="550" spans="2:23" x14ac:dyDescent="0.25">
      <c r="B550" s="1"/>
      <c r="C550" s="2"/>
      <c r="F550" s="3"/>
      <c r="U550" s="2"/>
      <c r="W550" s="6"/>
    </row>
    <row r="551" spans="2:23" x14ac:dyDescent="0.25">
      <c r="B551" s="1"/>
      <c r="C551" s="2"/>
      <c r="F551" s="3"/>
      <c r="U551" s="2"/>
      <c r="W551" s="6"/>
    </row>
    <row r="552" spans="2:23" x14ac:dyDescent="0.25">
      <c r="B552" s="1"/>
      <c r="C552" s="2"/>
      <c r="F552" s="3"/>
      <c r="U552" s="2"/>
      <c r="W552" s="6"/>
    </row>
    <row r="553" spans="2:23" x14ac:dyDescent="0.25">
      <c r="B553" s="1"/>
      <c r="C553" s="2"/>
      <c r="F553" s="3"/>
      <c r="U553" s="2"/>
      <c r="W553" s="6"/>
    </row>
    <row r="554" spans="2:23" x14ac:dyDescent="0.25">
      <c r="B554" s="1"/>
      <c r="C554" s="2"/>
      <c r="F554" s="3"/>
      <c r="U554" s="2"/>
      <c r="W554" s="6"/>
    </row>
    <row r="555" spans="2:23" x14ac:dyDescent="0.25">
      <c r="B555" s="1"/>
      <c r="C555" s="2"/>
      <c r="F555" s="3"/>
      <c r="U555" s="2"/>
      <c r="W555" s="6"/>
    </row>
    <row r="556" spans="2:23" x14ac:dyDescent="0.25">
      <c r="B556" s="1"/>
      <c r="C556" s="2"/>
      <c r="F556" s="3"/>
      <c r="U556" s="2"/>
      <c r="W556" s="6"/>
    </row>
    <row r="557" spans="2:23" x14ac:dyDescent="0.25">
      <c r="B557" s="1"/>
      <c r="C557" s="2"/>
      <c r="F557" s="3"/>
      <c r="U557" s="2"/>
      <c r="W557" s="6"/>
    </row>
    <row r="558" spans="2:23" x14ac:dyDescent="0.25">
      <c r="B558" s="1"/>
      <c r="C558" s="2"/>
      <c r="F558" s="3"/>
      <c r="U558" s="2"/>
      <c r="W558" s="6"/>
    </row>
    <row r="559" spans="2:23" x14ac:dyDescent="0.25">
      <c r="B559" s="1"/>
      <c r="C559" s="2"/>
      <c r="F559" s="3"/>
      <c r="U559" s="2"/>
      <c r="W559" s="6"/>
    </row>
    <row r="560" spans="2:23" x14ac:dyDescent="0.25">
      <c r="B560" s="1"/>
      <c r="C560" s="2"/>
      <c r="F560" s="3"/>
      <c r="U560" s="2"/>
      <c r="W560" s="6"/>
    </row>
    <row r="561" spans="2:23" x14ac:dyDescent="0.25">
      <c r="B561" s="1"/>
      <c r="C561" s="2"/>
      <c r="F561" s="3"/>
      <c r="U561" s="2"/>
      <c r="W561" s="6"/>
    </row>
    <row r="562" spans="2:23" x14ac:dyDescent="0.25">
      <c r="B562" s="1"/>
      <c r="C562" s="2"/>
      <c r="F562" s="3"/>
      <c r="U562" s="2"/>
      <c r="W562" s="6"/>
    </row>
    <row r="563" spans="2:23" x14ac:dyDescent="0.25">
      <c r="B563" s="1"/>
      <c r="C563" s="2"/>
      <c r="F563" s="3"/>
      <c r="U563" s="2"/>
      <c r="W563" s="6"/>
    </row>
    <row r="564" spans="2:23" x14ac:dyDescent="0.25">
      <c r="B564" s="1"/>
      <c r="C564" s="2"/>
      <c r="F564" s="3"/>
      <c r="U564" s="2"/>
      <c r="W564" s="6"/>
    </row>
    <row r="565" spans="2:23" x14ac:dyDescent="0.25">
      <c r="B565" s="1"/>
      <c r="C565" s="2"/>
      <c r="F565" s="3"/>
      <c r="U565" s="2"/>
      <c r="W565" s="6"/>
    </row>
    <row r="566" spans="2:23" x14ac:dyDescent="0.25">
      <c r="B566" s="1"/>
      <c r="C566" s="2"/>
      <c r="F566" s="3"/>
      <c r="U566" s="2"/>
      <c r="W566" s="6"/>
    </row>
    <row r="567" spans="2:23" x14ac:dyDescent="0.25">
      <c r="B567" s="1"/>
      <c r="C567" s="2"/>
      <c r="F567" s="3"/>
      <c r="U567" s="2"/>
      <c r="W567" s="6"/>
    </row>
    <row r="568" spans="2:23" x14ac:dyDescent="0.25">
      <c r="B568" s="1"/>
      <c r="C568" s="2"/>
      <c r="F568" s="3"/>
      <c r="U568" s="2"/>
      <c r="W568" s="6"/>
    </row>
    <row r="569" spans="2:23" x14ac:dyDescent="0.25">
      <c r="B569" s="1"/>
      <c r="C569" s="2"/>
      <c r="F569" s="3"/>
      <c r="U569" s="2"/>
      <c r="W569" s="6"/>
    </row>
    <row r="570" spans="2:23" x14ac:dyDescent="0.25">
      <c r="B570" s="1"/>
      <c r="C570" s="2"/>
      <c r="F570" s="3"/>
      <c r="U570" s="2"/>
      <c r="W570" s="6"/>
    </row>
    <row r="571" spans="2:23" x14ac:dyDescent="0.25">
      <c r="B571" s="1"/>
      <c r="C571" s="2"/>
      <c r="F571" s="3"/>
      <c r="U571" s="2"/>
      <c r="W571" s="6"/>
    </row>
    <row r="572" spans="2:23" x14ac:dyDescent="0.25">
      <c r="B572" s="1"/>
      <c r="C572" s="2"/>
      <c r="F572" s="3"/>
      <c r="U572" s="2"/>
      <c r="W572" s="6"/>
    </row>
    <row r="573" spans="2:23" x14ac:dyDescent="0.25">
      <c r="B573" s="1"/>
      <c r="C573" s="2"/>
      <c r="F573" s="3"/>
      <c r="U573" s="2"/>
      <c r="W573" s="6"/>
    </row>
    <row r="574" spans="2:23" x14ac:dyDescent="0.25">
      <c r="B574" s="1"/>
      <c r="C574" s="2"/>
      <c r="F574" s="3"/>
      <c r="U574" s="2"/>
      <c r="W574" s="6"/>
    </row>
    <row r="575" spans="2:23" x14ac:dyDescent="0.25">
      <c r="B575" s="1"/>
      <c r="C575" s="2"/>
      <c r="F575" s="3"/>
      <c r="U575" s="2"/>
      <c r="W575" s="6"/>
    </row>
    <row r="576" spans="2:23" x14ac:dyDescent="0.25">
      <c r="B576" s="1"/>
      <c r="C576" s="2"/>
      <c r="F576" s="3"/>
      <c r="U576" s="2"/>
      <c r="W576" s="6"/>
    </row>
    <row r="577" spans="2:23" x14ac:dyDescent="0.25">
      <c r="B577" s="1"/>
      <c r="C577" s="2"/>
      <c r="F577" s="3"/>
      <c r="U577" s="2"/>
      <c r="W577" s="6"/>
    </row>
    <row r="578" spans="2:23" x14ac:dyDescent="0.25">
      <c r="B578" s="1"/>
      <c r="C578" s="2"/>
      <c r="F578" s="3"/>
      <c r="U578" s="2"/>
      <c r="W578" s="6"/>
    </row>
    <row r="579" spans="2:23" x14ac:dyDescent="0.25">
      <c r="B579" s="1"/>
      <c r="C579" s="2"/>
      <c r="F579" s="3"/>
      <c r="U579" s="2"/>
      <c r="W579" s="6"/>
    </row>
    <row r="580" spans="2:23" x14ac:dyDescent="0.25">
      <c r="B580" s="1"/>
      <c r="C580" s="2"/>
      <c r="F580" s="3"/>
      <c r="U580" s="2"/>
      <c r="W580" s="6"/>
    </row>
    <row r="581" spans="2:23" x14ac:dyDescent="0.25">
      <c r="B581" s="1"/>
      <c r="C581" s="2"/>
      <c r="F581" s="3"/>
      <c r="U581" s="2"/>
      <c r="W581" s="6"/>
    </row>
    <row r="582" spans="2:23" x14ac:dyDescent="0.25">
      <c r="B582" s="1"/>
      <c r="C582" s="2"/>
      <c r="F582" s="3"/>
      <c r="U582" s="2"/>
      <c r="W582" s="6"/>
    </row>
    <row r="583" spans="2:23" x14ac:dyDescent="0.25">
      <c r="B583" s="1"/>
      <c r="C583" s="2"/>
      <c r="F583" s="3"/>
      <c r="U583" s="2"/>
      <c r="W583" s="6"/>
    </row>
    <row r="584" spans="2:23" x14ac:dyDescent="0.25">
      <c r="B584" s="1"/>
      <c r="C584" s="2"/>
      <c r="F584" s="3"/>
      <c r="U584" s="2"/>
      <c r="W584" s="6"/>
    </row>
    <row r="585" spans="2:23" x14ac:dyDescent="0.25">
      <c r="B585" s="1"/>
      <c r="C585" s="2"/>
      <c r="F585" s="3"/>
      <c r="U585" s="2"/>
      <c r="W585" s="6"/>
    </row>
    <row r="586" spans="2:23" x14ac:dyDescent="0.25">
      <c r="B586" s="1"/>
      <c r="C586" s="2"/>
      <c r="F586" s="3"/>
      <c r="U586" s="2"/>
      <c r="W586" s="6"/>
    </row>
    <row r="587" spans="2:23" x14ac:dyDescent="0.25">
      <c r="B587" s="1"/>
      <c r="C587" s="2"/>
      <c r="F587" s="3"/>
      <c r="U587" s="2"/>
      <c r="W587" s="6"/>
    </row>
    <row r="588" spans="2:23" x14ac:dyDescent="0.25">
      <c r="B588" s="1"/>
      <c r="C588" s="2"/>
      <c r="F588" s="3"/>
      <c r="U588" s="2"/>
      <c r="W588" s="6"/>
    </row>
    <row r="589" spans="2:23" x14ac:dyDescent="0.25">
      <c r="B589" s="1"/>
      <c r="C589" s="2"/>
      <c r="F589" s="3"/>
      <c r="U589" s="2"/>
      <c r="W589" s="6"/>
    </row>
    <row r="590" spans="2:23" x14ac:dyDescent="0.25">
      <c r="B590" s="1"/>
      <c r="C590" s="2"/>
      <c r="F590" s="3"/>
      <c r="U590" s="2"/>
      <c r="W590" s="6"/>
    </row>
    <row r="591" spans="2:23" x14ac:dyDescent="0.25">
      <c r="B591" s="1"/>
      <c r="C591" s="2"/>
      <c r="F591" s="3"/>
      <c r="U591" s="2"/>
      <c r="W591" s="6"/>
    </row>
    <row r="592" spans="2:23" x14ac:dyDescent="0.25">
      <c r="B592" s="1"/>
      <c r="C592" s="2"/>
      <c r="F592" s="3"/>
      <c r="U592" s="2"/>
      <c r="W592" s="6"/>
    </row>
    <row r="593" spans="2:23" x14ac:dyDescent="0.25">
      <c r="B593" s="1"/>
      <c r="C593" s="2"/>
      <c r="F593" s="3"/>
      <c r="U593" s="2"/>
      <c r="W593" s="6"/>
    </row>
    <row r="594" spans="2:23" x14ac:dyDescent="0.25">
      <c r="B594" s="1"/>
      <c r="C594" s="2"/>
      <c r="F594" s="3"/>
      <c r="U594" s="2"/>
      <c r="W594" s="6"/>
    </row>
    <row r="595" spans="2:23" x14ac:dyDescent="0.25">
      <c r="B595" s="1"/>
      <c r="C595" s="2"/>
      <c r="F595" s="3"/>
      <c r="U595" s="2"/>
      <c r="W595" s="6"/>
    </row>
    <row r="596" spans="2:23" x14ac:dyDescent="0.25">
      <c r="B596" s="1"/>
      <c r="C596" s="2"/>
      <c r="F596" s="3"/>
      <c r="U596" s="2"/>
      <c r="W596" s="6"/>
    </row>
    <row r="597" spans="2:23" x14ac:dyDescent="0.25">
      <c r="B597" s="1"/>
      <c r="C597" s="2"/>
      <c r="F597" s="3"/>
      <c r="U597" s="2"/>
      <c r="W597" s="6"/>
    </row>
    <row r="598" spans="2:23" x14ac:dyDescent="0.25">
      <c r="B598" s="1"/>
      <c r="C598" s="2"/>
      <c r="F598" s="3"/>
      <c r="U598" s="2"/>
      <c r="W598" s="6"/>
    </row>
    <row r="599" spans="2:23" x14ac:dyDescent="0.25">
      <c r="B599" s="1"/>
      <c r="C599" s="2"/>
      <c r="F599" s="3"/>
      <c r="U599" s="2"/>
      <c r="W599" s="6"/>
    </row>
    <row r="600" spans="2:23" x14ac:dyDescent="0.25">
      <c r="B600" s="1"/>
      <c r="C600" s="2"/>
      <c r="F600" s="3"/>
      <c r="U600" s="2"/>
      <c r="W600" s="6"/>
    </row>
    <row r="601" spans="2:23" x14ac:dyDescent="0.25">
      <c r="B601" s="1"/>
      <c r="C601" s="2"/>
      <c r="F601" s="3"/>
      <c r="U601" s="2"/>
      <c r="W601" s="6"/>
    </row>
    <row r="602" spans="2:23" x14ac:dyDescent="0.25">
      <c r="B602" s="1"/>
      <c r="C602" s="2"/>
      <c r="F602" s="3"/>
      <c r="U602" s="2"/>
      <c r="W602" s="6"/>
    </row>
    <row r="603" spans="2:23" x14ac:dyDescent="0.25">
      <c r="B603" s="1"/>
      <c r="C603" s="2"/>
      <c r="F603" s="3"/>
      <c r="U603" s="2"/>
      <c r="W603" s="6"/>
    </row>
    <row r="604" spans="2:23" x14ac:dyDescent="0.25">
      <c r="B604" s="1"/>
      <c r="C604" s="2"/>
      <c r="F604" s="3"/>
      <c r="U604" s="2"/>
      <c r="W604" s="6"/>
    </row>
    <row r="605" spans="2:23" x14ac:dyDescent="0.25">
      <c r="B605" s="1"/>
      <c r="C605" s="2"/>
      <c r="F605" s="3"/>
      <c r="U605" s="2"/>
      <c r="W605" s="6"/>
    </row>
    <row r="606" spans="2:23" x14ac:dyDescent="0.25">
      <c r="B606" s="1"/>
      <c r="C606" s="2"/>
      <c r="F606" s="3"/>
      <c r="U606" s="2"/>
      <c r="W606" s="6"/>
    </row>
    <row r="607" spans="2:23" x14ac:dyDescent="0.25">
      <c r="B607" s="1"/>
      <c r="C607" s="2"/>
      <c r="F607" s="3"/>
      <c r="U607" s="2"/>
      <c r="W607" s="6"/>
    </row>
    <row r="608" spans="2:23" x14ac:dyDescent="0.25">
      <c r="B608" s="1"/>
      <c r="C608" s="2"/>
      <c r="F608" s="3"/>
      <c r="U608" s="2"/>
      <c r="W608" s="6"/>
    </row>
    <row r="609" spans="2:23" x14ac:dyDescent="0.25">
      <c r="B609" s="1"/>
      <c r="C609" s="2"/>
      <c r="F609" s="3"/>
      <c r="U609" s="2"/>
      <c r="W609" s="6"/>
    </row>
    <row r="610" spans="2:23" x14ac:dyDescent="0.25">
      <c r="B610" s="1"/>
      <c r="C610" s="2"/>
      <c r="F610" s="3"/>
      <c r="U610" s="2"/>
      <c r="W610" s="6"/>
    </row>
    <row r="611" spans="2:23" x14ac:dyDescent="0.25">
      <c r="B611" s="1"/>
      <c r="C611" s="2"/>
      <c r="F611" s="3"/>
      <c r="U611" s="2"/>
      <c r="W611" s="6"/>
    </row>
    <row r="612" spans="2:23" x14ac:dyDescent="0.25">
      <c r="B612" s="1"/>
      <c r="C612" s="2"/>
      <c r="F612" s="3"/>
      <c r="U612" s="2"/>
      <c r="W612" s="6"/>
    </row>
    <row r="613" spans="2:23" x14ac:dyDescent="0.25">
      <c r="B613" s="1"/>
      <c r="C613" s="2"/>
      <c r="F613" s="3"/>
      <c r="U613" s="2"/>
      <c r="W613" s="6"/>
    </row>
    <row r="614" spans="2:23" x14ac:dyDescent="0.25">
      <c r="B614" s="1"/>
      <c r="C614" s="2"/>
      <c r="F614" s="3"/>
      <c r="U614" s="2"/>
      <c r="W614" s="6"/>
    </row>
    <row r="615" spans="2:23" x14ac:dyDescent="0.25">
      <c r="B615" s="1"/>
      <c r="C615" s="2"/>
      <c r="F615" s="3"/>
      <c r="U615" s="2"/>
      <c r="W615" s="6"/>
    </row>
    <row r="616" spans="2:23" x14ac:dyDescent="0.25">
      <c r="B616" s="1"/>
      <c r="C616" s="2"/>
      <c r="F616" s="3"/>
      <c r="U616" s="2"/>
      <c r="W616" s="6"/>
    </row>
    <row r="617" spans="2:23" x14ac:dyDescent="0.25">
      <c r="B617" s="1"/>
      <c r="C617" s="2"/>
      <c r="F617" s="3"/>
      <c r="U617" s="2"/>
      <c r="W617" s="6"/>
    </row>
    <row r="618" spans="2:23" x14ac:dyDescent="0.25">
      <c r="B618" s="1"/>
      <c r="C618" s="2"/>
      <c r="F618" s="3"/>
      <c r="U618" s="2"/>
      <c r="W618" s="6"/>
    </row>
    <row r="619" spans="2:23" x14ac:dyDescent="0.25">
      <c r="B619" s="1"/>
      <c r="C619" s="2"/>
      <c r="F619" s="3"/>
      <c r="U619" s="2"/>
      <c r="W619" s="6"/>
    </row>
    <row r="620" spans="2:23" x14ac:dyDescent="0.25">
      <c r="B620" s="1"/>
      <c r="C620" s="2"/>
      <c r="F620" s="3"/>
      <c r="U620" s="2"/>
      <c r="W620" s="6"/>
    </row>
    <row r="621" spans="2:23" x14ac:dyDescent="0.25">
      <c r="B621" s="1"/>
      <c r="C621" s="2"/>
      <c r="F621" s="3"/>
      <c r="U621" s="2"/>
      <c r="W621" s="6"/>
    </row>
    <row r="622" spans="2:23" x14ac:dyDescent="0.25">
      <c r="B622" s="1"/>
      <c r="C622" s="2"/>
      <c r="F622" s="3"/>
      <c r="U622" s="2"/>
      <c r="W622" s="6"/>
    </row>
    <row r="623" spans="2:23" x14ac:dyDescent="0.25">
      <c r="B623" s="1"/>
      <c r="C623" s="2"/>
      <c r="F623" s="3"/>
      <c r="U623" s="2"/>
      <c r="W623" s="6"/>
    </row>
    <row r="624" spans="2:23" x14ac:dyDescent="0.25">
      <c r="B624" s="1"/>
      <c r="C624" s="2"/>
      <c r="F624" s="3"/>
      <c r="U624" s="2"/>
      <c r="W624" s="6"/>
    </row>
    <row r="625" spans="2:23" x14ac:dyDescent="0.25">
      <c r="B625" s="1"/>
      <c r="C625" s="2"/>
      <c r="F625" s="3"/>
      <c r="U625" s="2"/>
      <c r="W625" s="6"/>
    </row>
    <row r="626" spans="2:23" x14ac:dyDescent="0.25">
      <c r="B626" s="1"/>
      <c r="C626" s="2"/>
      <c r="F626" s="3"/>
      <c r="U626" s="2"/>
      <c r="W626" s="6"/>
    </row>
    <row r="627" spans="2:23" x14ac:dyDescent="0.25">
      <c r="B627" s="1"/>
      <c r="C627" s="2"/>
      <c r="F627" s="3"/>
      <c r="U627" s="2"/>
      <c r="W627" s="6"/>
    </row>
    <row r="628" spans="2:23" x14ac:dyDescent="0.25">
      <c r="B628" s="1"/>
      <c r="C628" s="2"/>
      <c r="F628" s="3"/>
      <c r="U628" s="2"/>
      <c r="W628" s="6"/>
    </row>
    <row r="629" spans="2:23" x14ac:dyDescent="0.25">
      <c r="B629" s="1"/>
      <c r="C629" s="2"/>
      <c r="F629" s="3"/>
      <c r="U629" s="2"/>
      <c r="W629" s="6"/>
    </row>
    <row r="630" spans="2:23" x14ac:dyDescent="0.25">
      <c r="B630" s="1"/>
      <c r="C630" s="2"/>
      <c r="F630" s="3"/>
      <c r="U630" s="2"/>
      <c r="W630" s="6"/>
    </row>
    <row r="631" spans="2:23" x14ac:dyDescent="0.25">
      <c r="B631" s="1"/>
      <c r="C631" s="2"/>
      <c r="F631" s="3"/>
      <c r="U631" s="2"/>
      <c r="W631" s="6"/>
    </row>
    <row r="632" spans="2:23" x14ac:dyDescent="0.25">
      <c r="B632" s="1"/>
      <c r="C632" s="2"/>
      <c r="F632" s="3"/>
      <c r="U632" s="2"/>
      <c r="W632" s="6"/>
    </row>
    <row r="633" spans="2:23" x14ac:dyDescent="0.25">
      <c r="B633" s="1"/>
      <c r="C633" s="2"/>
      <c r="F633" s="3"/>
      <c r="U633" s="2"/>
      <c r="W633" s="6"/>
    </row>
    <row r="634" spans="2:23" x14ac:dyDescent="0.25">
      <c r="B634" s="1"/>
      <c r="C634" s="2"/>
      <c r="F634" s="3"/>
      <c r="U634" s="2"/>
      <c r="W634" s="6"/>
    </row>
    <row r="635" spans="2:23" x14ac:dyDescent="0.25">
      <c r="B635" s="1"/>
      <c r="C635" s="2"/>
      <c r="F635" s="3"/>
      <c r="U635" s="2"/>
      <c r="W635" s="6"/>
    </row>
    <row r="636" spans="2:23" x14ac:dyDescent="0.25">
      <c r="B636" s="1"/>
      <c r="C636" s="2"/>
      <c r="F636" s="3"/>
      <c r="U636" s="2"/>
      <c r="W636" s="6"/>
    </row>
    <row r="637" spans="2:23" x14ac:dyDescent="0.25">
      <c r="B637" s="1"/>
      <c r="C637" s="2"/>
      <c r="F637" s="3"/>
      <c r="U637" s="2"/>
      <c r="W637" s="6"/>
    </row>
    <row r="638" spans="2:23" x14ac:dyDescent="0.25">
      <c r="B638" s="1"/>
      <c r="C638" s="2"/>
      <c r="F638" s="3"/>
      <c r="U638" s="2"/>
      <c r="W638" s="6"/>
    </row>
    <row r="639" spans="2:23" x14ac:dyDescent="0.25">
      <c r="B639" s="1"/>
      <c r="C639" s="2"/>
      <c r="F639" s="3"/>
      <c r="U639" s="2"/>
      <c r="W639" s="6"/>
    </row>
    <row r="640" spans="2:23" x14ac:dyDescent="0.25">
      <c r="B640" s="1"/>
      <c r="C640" s="2"/>
      <c r="F640" s="3"/>
      <c r="U640" s="2"/>
      <c r="W640" s="6"/>
    </row>
    <row r="641" spans="2:23" x14ac:dyDescent="0.25">
      <c r="B641" s="1"/>
      <c r="C641" s="2"/>
      <c r="F641" s="3"/>
      <c r="U641" s="2"/>
      <c r="W641" s="6"/>
    </row>
    <row r="642" spans="2:23" x14ac:dyDescent="0.25">
      <c r="B642" s="1"/>
      <c r="C642" s="2"/>
      <c r="F642" s="3"/>
      <c r="U642" s="2"/>
      <c r="W642" s="6"/>
    </row>
    <row r="643" spans="2:23" x14ac:dyDescent="0.25">
      <c r="B643" s="1"/>
      <c r="C643" s="2"/>
      <c r="F643" s="3"/>
      <c r="U643" s="2"/>
      <c r="W643" s="6"/>
    </row>
    <row r="644" spans="2:23" x14ac:dyDescent="0.25">
      <c r="B644" s="1"/>
      <c r="C644" s="2"/>
      <c r="F644" s="3"/>
      <c r="U644" s="2"/>
      <c r="W644" s="6"/>
    </row>
    <row r="645" spans="2:23" x14ac:dyDescent="0.25">
      <c r="B645" s="1"/>
      <c r="C645" s="2"/>
      <c r="F645" s="3"/>
      <c r="U645" s="2"/>
      <c r="W645" s="6"/>
    </row>
    <row r="646" spans="2:23" x14ac:dyDescent="0.25">
      <c r="B646" s="1"/>
      <c r="C646" s="2"/>
      <c r="F646" s="3"/>
      <c r="U646" s="2"/>
      <c r="W646" s="6"/>
    </row>
    <row r="647" spans="2:23" x14ac:dyDescent="0.25">
      <c r="B647" s="1"/>
      <c r="C647" s="2"/>
      <c r="F647" s="3"/>
      <c r="U647" s="2"/>
      <c r="W647" s="6"/>
    </row>
    <row r="648" spans="2:23" x14ac:dyDescent="0.25">
      <c r="B648" s="1"/>
      <c r="C648" s="2"/>
      <c r="F648" s="3"/>
      <c r="U648" s="2"/>
      <c r="W648" s="6"/>
    </row>
    <row r="649" spans="2:23" x14ac:dyDescent="0.25">
      <c r="B649" s="1"/>
      <c r="C649" s="2"/>
      <c r="F649" s="3"/>
      <c r="U649" s="2"/>
      <c r="W649" s="6"/>
    </row>
    <row r="650" spans="2:23" x14ac:dyDescent="0.25">
      <c r="B650" s="1"/>
      <c r="C650" s="2"/>
      <c r="F650" s="3"/>
      <c r="U650" s="2"/>
      <c r="W650" s="6"/>
    </row>
    <row r="651" spans="2:23" x14ac:dyDescent="0.25">
      <c r="B651" s="1"/>
      <c r="C651" s="2"/>
      <c r="F651" s="3"/>
      <c r="U651" s="2"/>
      <c r="W651" s="6"/>
    </row>
    <row r="652" spans="2:23" x14ac:dyDescent="0.25">
      <c r="B652" s="1"/>
      <c r="C652" s="2"/>
      <c r="F652" s="3"/>
      <c r="U652" s="2"/>
      <c r="W652" s="6"/>
    </row>
    <row r="653" spans="2:23" x14ac:dyDescent="0.25">
      <c r="B653" s="1"/>
      <c r="C653" s="2"/>
      <c r="F653" s="3"/>
      <c r="U653" s="2"/>
      <c r="W653" s="6"/>
    </row>
    <row r="654" spans="2:23" x14ac:dyDescent="0.25">
      <c r="B654" s="1"/>
      <c r="C654" s="2"/>
      <c r="F654" s="3"/>
      <c r="U654" s="2"/>
      <c r="W654" s="6"/>
    </row>
    <row r="655" spans="2:23" x14ac:dyDescent="0.25">
      <c r="B655" s="1"/>
      <c r="C655" s="2"/>
      <c r="F655" s="3"/>
      <c r="U655" s="2"/>
      <c r="W655" s="6"/>
    </row>
    <row r="656" spans="2:23" x14ac:dyDescent="0.25">
      <c r="B656" s="1"/>
      <c r="C656" s="2"/>
      <c r="F656" s="3"/>
      <c r="U656" s="2"/>
      <c r="W656" s="6"/>
    </row>
    <row r="657" spans="2:23" x14ac:dyDescent="0.25">
      <c r="B657" s="1"/>
      <c r="C657" s="2"/>
      <c r="F657" s="3"/>
      <c r="U657" s="2"/>
      <c r="W657" s="6"/>
    </row>
    <row r="658" spans="2:23" x14ac:dyDescent="0.25">
      <c r="B658" s="1"/>
      <c r="C658" s="2"/>
      <c r="F658" s="3"/>
      <c r="U658" s="2"/>
      <c r="W658" s="6"/>
    </row>
    <row r="659" spans="2:23" x14ac:dyDescent="0.25">
      <c r="B659" s="1"/>
      <c r="C659" s="2"/>
      <c r="F659" s="3"/>
      <c r="U659" s="2"/>
      <c r="W659" s="6"/>
    </row>
    <row r="660" spans="2:23" x14ac:dyDescent="0.25">
      <c r="B660" s="1"/>
      <c r="C660" s="2"/>
      <c r="F660" s="3"/>
      <c r="U660" s="2"/>
      <c r="W660" s="6"/>
    </row>
    <row r="661" spans="2:23" x14ac:dyDescent="0.25">
      <c r="B661" s="1"/>
      <c r="C661" s="2"/>
      <c r="F661" s="3"/>
      <c r="U661" s="2"/>
      <c r="W661" s="6"/>
    </row>
    <row r="662" spans="2:23" x14ac:dyDescent="0.25">
      <c r="B662" s="1"/>
      <c r="C662" s="2"/>
      <c r="F662" s="3"/>
      <c r="U662" s="2"/>
      <c r="W662" s="6"/>
    </row>
    <row r="663" spans="2:23" x14ac:dyDescent="0.25">
      <c r="B663" s="1"/>
      <c r="C663" s="2"/>
      <c r="F663" s="3"/>
      <c r="U663" s="2"/>
      <c r="W663" s="6"/>
    </row>
    <row r="664" spans="2:23" x14ac:dyDescent="0.25">
      <c r="B664" s="1"/>
      <c r="C664" s="2"/>
      <c r="F664" s="3"/>
      <c r="U664" s="2"/>
      <c r="W664" s="6"/>
    </row>
    <row r="665" spans="2:23" x14ac:dyDescent="0.25">
      <c r="B665" s="1"/>
      <c r="C665" s="2"/>
      <c r="F665" s="3"/>
      <c r="U665" s="2"/>
      <c r="W665" s="6"/>
    </row>
    <row r="666" spans="2:23" x14ac:dyDescent="0.25">
      <c r="B666" s="1"/>
      <c r="C666" s="2"/>
      <c r="F666" s="3"/>
      <c r="U666" s="2"/>
      <c r="W666" s="6"/>
    </row>
    <row r="667" spans="2:23" x14ac:dyDescent="0.25">
      <c r="B667" s="1"/>
      <c r="C667" s="2"/>
      <c r="F667" s="3"/>
      <c r="U667" s="2"/>
      <c r="W667" s="6"/>
    </row>
    <row r="668" spans="2:23" x14ac:dyDescent="0.25">
      <c r="B668" s="1"/>
      <c r="C668" s="2"/>
      <c r="F668" s="3"/>
      <c r="U668" s="2"/>
      <c r="W668" s="6"/>
    </row>
    <row r="669" spans="2:23" x14ac:dyDescent="0.25">
      <c r="B669" s="1"/>
      <c r="C669" s="2"/>
      <c r="F669" s="3"/>
      <c r="U669" s="2"/>
      <c r="W669" s="6"/>
    </row>
    <row r="670" spans="2:23" x14ac:dyDescent="0.25">
      <c r="B670" s="1"/>
      <c r="C670" s="2"/>
      <c r="F670" s="3"/>
      <c r="U670" s="2"/>
      <c r="W670" s="6"/>
    </row>
    <row r="671" spans="2:23" x14ac:dyDescent="0.25">
      <c r="B671" s="1"/>
      <c r="C671" s="2"/>
      <c r="F671" s="3"/>
      <c r="U671" s="2"/>
      <c r="W671" s="6"/>
    </row>
    <row r="672" spans="2:23" x14ac:dyDescent="0.25">
      <c r="B672" s="1"/>
      <c r="C672" s="2"/>
      <c r="F672" s="3"/>
      <c r="U672" s="2"/>
      <c r="W672" s="6"/>
    </row>
    <row r="673" spans="2:23" x14ac:dyDescent="0.25">
      <c r="B673" s="1"/>
      <c r="C673" s="2"/>
      <c r="F673" s="3"/>
      <c r="U673" s="2"/>
      <c r="W673" s="6"/>
    </row>
    <row r="674" spans="2:23" x14ac:dyDescent="0.25">
      <c r="B674" s="1"/>
      <c r="C674" s="2"/>
      <c r="F674" s="3"/>
      <c r="U674" s="2"/>
      <c r="W674" s="6"/>
    </row>
    <row r="675" spans="2:23" x14ac:dyDescent="0.25">
      <c r="B675" s="1"/>
      <c r="C675" s="2"/>
      <c r="F675" s="3"/>
      <c r="U675" s="2"/>
      <c r="W675" s="6"/>
    </row>
    <row r="676" spans="2:23" x14ac:dyDescent="0.25">
      <c r="B676" s="1"/>
      <c r="C676" s="2"/>
      <c r="F676" s="3"/>
      <c r="U676" s="2"/>
      <c r="W676" s="6"/>
    </row>
    <row r="677" spans="2:23" x14ac:dyDescent="0.25">
      <c r="B677" s="1"/>
      <c r="C677" s="2"/>
      <c r="F677" s="3"/>
      <c r="U677" s="2"/>
      <c r="W677" s="6"/>
    </row>
    <row r="678" spans="2:23" x14ac:dyDescent="0.25">
      <c r="B678" s="1"/>
      <c r="C678" s="2"/>
      <c r="F678" s="3"/>
      <c r="U678" s="2"/>
      <c r="W678" s="6"/>
    </row>
    <row r="679" spans="2:23" x14ac:dyDescent="0.25">
      <c r="B679" s="1"/>
      <c r="C679" s="2"/>
      <c r="F679" s="3"/>
      <c r="U679" s="2"/>
      <c r="W679" s="6"/>
    </row>
    <row r="680" spans="2:23" x14ac:dyDescent="0.25">
      <c r="B680" s="1"/>
      <c r="C680" s="2"/>
      <c r="F680" s="3"/>
      <c r="U680" s="2"/>
      <c r="W680" s="6"/>
    </row>
    <row r="681" spans="2:23" x14ac:dyDescent="0.25">
      <c r="B681" s="1"/>
      <c r="C681" s="2"/>
      <c r="F681" s="3"/>
      <c r="U681" s="2"/>
      <c r="W681" s="6"/>
    </row>
    <row r="682" spans="2:23" x14ac:dyDescent="0.25">
      <c r="B682" s="1"/>
      <c r="C682" s="2"/>
      <c r="F682" s="3"/>
      <c r="U682" s="2"/>
      <c r="W682" s="6"/>
    </row>
    <row r="683" spans="2:23" x14ac:dyDescent="0.25">
      <c r="B683" s="1"/>
      <c r="C683" s="2"/>
      <c r="F683" s="3"/>
      <c r="U683" s="2"/>
      <c r="W683" s="6"/>
    </row>
  </sheetData>
  <autoFilter ref="B1:W137" xr:uid="{FD1DCD23-CD7C-4CDF-8C89-C27D6D18711F}">
    <sortState xmlns:xlrd2="http://schemas.microsoft.com/office/spreadsheetml/2017/richdata2" ref="B2:W137">
      <sortCondition descending="1" ref="E1:E137"/>
    </sortState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MCI_followupallvisits</vt:lpstr>
      <vt:lpstr>MCIfollowupMCIdate_filtered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Schmitt, Fabian</dc:creator>
  <cp:lastModifiedBy>Schmitt, Fabian</cp:lastModifiedBy>
  <dcterms:created xsi:type="dcterms:W3CDTF">2025-11-27T17:46:25Z</dcterms:created>
  <dcterms:modified xsi:type="dcterms:W3CDTF">2025-12-05T14:55:26Z</dcterms:modified>
</cp:coreProperties>
</file>