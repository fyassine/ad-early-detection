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Fabi\Documents\Doktorarbeit\BiomarkerDaten\Patienteneinteilung\Converter_patients\"/>
    </mc:Choice>
  </mc:AlternateContent>
  <xr:revisionPtr revIDLastSave="0" documentId="13_ncr:1_{0C3621B7-9408-4586-BD8F-04E1766E3B92}" xr6:coauthVersionLast="47" xr6:coauthVersionMax="47" xr10:uidLastSave="{00000000-0000-0000-0000-000000000000}"/>
  <bookViews>
    <workbookView xWindow="-120" yWindow="-120" windowWidth="29040" windowHeight="15720" activeTab="1" xr2:uid="{042190B8-212B-4980-A91D-3283105008C0}"/>
  </bookViews>
  <sheets>
    <sheet name="allConverters_MCIvisits" sheetId="1" r:id="rId1"/>
    <sheet name="allConverters_MCIvisitsfiltered" sheetId="4" r:id="rId2"/>
    <sheet name="Converter_BaselineMCI_followups" sheetId="2" r:id="rId3"/>
    <sheet name="Conv_followupMCI_followups" sheetId="3" r:id="rId4"/>
  </sheets>
  <definedNames>
    <definedName name="_xlnm._FilterDatabase" localSheetId="0" hidden="1">allConverters_MCIvisits!$B$1:$Z$71</definedName>
    <definedName name="_xlnm._FilterDatabase" localSheetId="1" hidden="1">allConverters_MCIvisitsfiltered!$AZ$1:$CN$115</definedName>
    <definedName name="_xlnm._FilterDatabase" localSheetId="3" hidden="1">Conv_followupMCI_followups!$B$1:$AB$49</definedName>
    <definedName name="_xlnm._FilterDatabase" localSheetId="2" hidden="1">Converter_BaselineMCI_followups!$B$1:$X$135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9" i="3" l="1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5" i="3"/>
  <c r="AB26" i="3"/>
  <c r="AB27" i="3"/>
  <c r="AB19" i="3"/>
  <c r="AB24" i="3"/>
  <c r="AB20" i="3"/>
  <c r="AB23" i="3"/>
  <c r="AB22" i="3"/>
  <c r="AB21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2" i="3"/>
  <c r="AB6" i="3"/>
  <c r="AB3" i="3"/>
  <c r="AB4" i="3"/>
  <c r="AB5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5" i="3"/>
  <c r="AA26" i="3"/>
  <c r="AA27" i="3"/>
  <c r="AA19" i="3"/>
  <c r="AA24" i="3"/>
  <c r="AA20" i="3"/>
  <c r="AA23" i="3"/>
  <c r="AA22" i="3"/>
  <c r="AA21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W75" i="2"/>
  <c r="W45" i="2"/>
  <c r="W74" i="2"/>
  <c r="W40" i="2"/>
  <c r="W71" i="2"/>
  <c r="W44" i="2"/>
  <c r="W35" i="2"/>
  <c r="W9" i="2"/>
  <c r="W55" i="2"/>
  <c r="W49" i="2"/>
  <c r="W70" i="2"/>
  <c r="W67" i="2"/>
  <c r="W84" i="2"/>
  <c r="W29" i="2"/>
  <c r="W39" i="2"/>
  <c r="W62" i="2"/>
  <c r="W12" i="2"/>
  <c r="W23" i="2"/>
  <c r="W58" i="2"/>
  <c r="W81" i="2"/>
  <c r="W33" i="2"/>
  <c r="W43" i="2"/>
  <c r="W6" i="2"/>
  <c r="W20" i="2"/>
  <c r="W53" i="2"/>
  <c r="W69" i="2"/>
  <c r="W7" i="2"/>
  <c r="W77" i="2"/>
  <c r="W73" i="2"/>
  <c r="W34" i="2"/>
  <c r="W41" i="2"/>
  <c r="W82" i="2"/>
  <c r="W61" i="2"/>
  <c r="W28" i="2"/>
  <c r="W50" i="2"/>
  <c r="W31" i="2"/>
  <c r="W10" i="2"/>
  <c r="W15" i="2"/>
  <c r="W37" i="2"/>
  <c r="W66" i="2"/>
  <c r="W18" i="2"/>
  <c r="W80" i="2"/>
  <c r="W57" i="2"/>
  <c r="W47" i="2"/>
  <c r="W48" i="2"/>
  <c r="W78" i="2"/>
  <c r="W5" i="2"/>
  <c r="W36" i="2"/>
  <c r="W83" i="2"/>
  <c r="W16" i="2"/>
  <c r="W76" i="2"/>
  <c r="W21" i="2"/>
  <c r="W65" i="2"/>
  <c r="W59" i="2"/>
  <c r="W42" i="2"/>
  <c r="W27" i="2"/>
  <c r="W8" i="2"/>
  <c r="W79" i="2"/>
  <c r="W24" i="2"/>
  <c r="W68" i="2"/>
  <c r="W17" i="2"/>
  <c r="W60" i="2"/>
  <c r="W51" i="2"/>
  <c r="W25" i="2"/>
  <c r="W63" i="2"/>
  <c r="W19" i="2"/>
  <c r="W64" i="2"/>
  <c r="W26" i="2"/>
  <c r="W54" i="2"/>
  <c r="W3" i="2"/>
  <c r="W14" i="2"/>
  <c r="W30" i="2"/>
  <c r="W52" i="2"/>
  <c r="W4" i="2"/>
  <c r="W32" i="2"/>
  <c r="W13" i="2"/>
  <c r="W2" i="2"/>
  <c r="W11" i="2"/>
  <c r="W22" i="2"/>
  <c r="W72" i="2"/>
  <c r="W38" i="2"/>
  <c r="W56" i="2"/>
  <c r="W46" i="2"/>
</calcChain>
</file>

<file path=xl/sharedStrings.xml><?xml version="1.0" encoding="utf-8"?>
<sst xmlns="http://schemas.openxmlformats.org/spreadsheetml/2006/main" count="1116" uniqueCount="151">
  <si>
    <t>Repseudonym</t>
  </si>
  <si>
    <t>visdat</t>
  </si>
  <si>
    <t>prmdiag</t>
  </si>
  <si>
    <t>mmstot</t>
  </si>
  <si>
    <t>cdrtot</t>
  </si>
  <si>
    <t>cdrglobal</t>
  </si>
  <si>
    <t>Abeta38</t>
  </si>
  <si>
    <t>Abeta38_CV</t>
  </si>
  <si>
    <t>Abeta40</t>
  </si>
  <si>
    <t>Abeta40_CV</t>
  </si>
  <si>
    <t>Abeta42</t>
  </si>
  <si>
    <t>Abeta42_CV</t>
  </si>
  <si>
    <t>totaltau</t>
  </si>
  <si>
    <t>totaltau_CV</t>
  </si>
  <si>
    <t>phosphotau181</t>
  </si>
  <si>
    <t>phosphotau181_CV</t>
  </si>
  <si>
    <t>ratio_Abeta42_40</t>
  </si>
  <si>
    <t>ratio_Abeta42_phosphotau181</t>
  </si>
  <si>
    <t>Dem_untilApril24</t>
  </si>
  <si>
    <t>DemDate_untilApril24</t>
  </si>
  <si>
    <t>DemTime_untilApril24</t>
  </si>
  <si>
    <t>Scanliste</t>
  </si>
  <si>
    <t>03a0a6663</t>
  </si>
  <si>
    <t>M0</t>
  </si>
  <si>
    <t>05595022c</t>
  </si>
  <si>
    <t>0588be6c5</t>
  </si>
  <si>
    <t>0df733308</t>
  </si>
  <si>
    <t>1169cb29f</t>
  </si>
  <si>
    <t>14532a273</t>
  </si>
  <si>
    <t>191e8e85d</t>
  </si>
  <si>
    <t>1eebab647</t>
  </si>
  <si>
    <t>2d0c30f83</t>
  </si>
  <si>
    <t>.</t>
  </si>
  <si>
    <t>2d73e8996</t>
  </si>
  <si>
    <t>2e2857631</t>
  </si>
  <si>
    <t>40ea07c4b</t>
  </si>
  <si>
    <t>428978e36</t>
  </si>
  <si>
    <t>46c3433d4</t>
  </si>
  <si>
    <t>475b9bfe2</t>
  </si>
  <si>
    <t>4850fb0c1</t>
  </si>
  <si>
    <t>4e73cdc52</t>
  </si>
  <si>
    <t>5598d51dd</t>
  </si>
  <si>
    <t>5c4e89915</t>
  </si>
  <si>
    <t>63258afb4</t>
  </si>
  <si>
    <t>660f27d45</t>
  </si>
  <si>
    <t>6ecf96ab0</t>
  </si>
  <si>
    <t>74d781eee</t>
  </si>
  <si>
    <t>75d14b5ca</t>
  </si>
  <si>
    <t>7898c9f2d</t>
  </si>
  <si>
    <t>7bc92ad6d</t>
  </si>
  <si>
    <t>822a3a811</t>
  </si>
  <si>
    <t>836c233ff</t>
  </si>
  <si>
    <t>89a40fc7e</t>
  </si>
  <si>
    <t>91383c1f8</t>
  </si>
  <si>
    <t>9766e9c38</t>
  </si>
  <si>
    <t>9b16d9da3</t>
  </si>
  <si>
    <t>9cf012413</t>
  </si>
  <si>
    <t>9f4e60065</t>
  </si>
  <si>
    <t>a5cceacea</t>
  </si>
  <si>
    <t>adf756d40</t>
  </si>
  <si>
    <t>ae818e1d7</t>
  </si>
  <si>
    <t>b093bca1e</t>
  </si>
  <si>
    <t>b18d729af</t>
  </si>
  <si>
    <t>b56914910</t>
  </si>
  <si>
    <t>b7366d4e7</t>
  </si>
  <si>
    <t>b750d9dbe</t>
  </si>
  <si>
    <t>b7b9f01f5</t>
  </si>
  <si>
    <t>bc177df98</t>
  </si>
  <si>
    <t>bcae977b3</t>
  </si>
  <si>
    <t>c81213449</t>
  </si>
  <si>
    <t>ca971f829</t>
  </si>
  <si>
    <t>cd3bf904f</t>
  </si>
  <si>
    <t>d0887896f</t>
  </si>
  <si>
    <t>d4055734e</t>
  </si>
  <si>
    <t>d420099e8</t>
  </si>
  <si>
    <t>d6334c64c</t>
  </si>
  <si>
    <t>e42f4862b</t>
  </si>
  <si>
    <t>e7967bcd4</t>
  </si>
  <si>
    <t>fbebee616</t>
  </si>
  <si>
    <t>fd225d1ef</t>
  </si>
  <si>
    <t>fdb1d843b</t>
  </si>
  <si>
    <t>40feb97f6</t>
  </si>
  <si>
    <t>5759da909</t>
  </si>
  <si>
    <t>d7f5479f6</t>
  </si>
  <si>
    <t>4359a0c41</t>
  </si>
  <si>
    <t>b2cc7cce8</t>
  </si>
  <si>
    <t>fd0a4ba8a</t>
  </si>
  <si>
    <t>b2f42b7ff</t>
  </si>
  <si>
    <t>07e48dffa</t>
  </si>
  <si>
    <t>be658a955</t>
  </si>
  <si>
    <t>c13fa705c</t>
  </si>
  <si>
    <t>dca63a3ab</t>
  </si>
  <si>
    <t>fff6c90a3</t>
  </si>
  <si>
    <t>2.9678302532512</t>
  </si>
  <si>
    <t>2.14647501711157</t>
  </si>
  <si>
    <t>3.16221765913758</t>
  </si>
  <si>
    <t>5.6290212183436</t>
  </si>
  <si>
    <t>M12</t>
  </si>
  <si>
    <t>M24</t>
  </si>
  <si>
    <t>M36</t>
  </si>
  <si>
    <t>M48</t>
  </si>
  <si>
    <t>M60</t>
  </si>
  <si>
    <t>MCI_untilApril24</t>
  </si>
  <si>
    <t>MCIDate_untilApril24</t>
  </si>
  <si>
    <t>MCITime_untilApril24</t>
  </si>
  <si>
    <t>alle Converter (MCI visit)</t>
  </si>
  <si>
    <t>Pseudonym</t>
  </si>
  <si>
    <t>Aß38 (pg/ml)</t>
  </si>
  <si>
    <t>Aß38 CV</t>
  </si>
  <si>
    <t>Aß40 (pg/ml)</t>
  </si>
  <si>
    <t>Aß40 CV</t>
  </si>
  <si>
    <t>Aß42 (pg/ml)</t>
  </si>
  <si>
    <t>Aß42 CV</t>
  </si>
  <si>
    <t>t-tau (pg/ml)</t>
  </si>
  <si>
    <t>t-tau CV</t>
  </si>
  <si>
    <t>p-tau-181 (pg/ml)</t>
  </si>
  <si>
    <t>p-tau-181 CV</t>
  </si>
  <si>
    <t>Aß42/40</t>
  </si>
  <si>
    <t>Aß42/p-tau-181</t>
  </si>
  <si>
    <t>visdatMCI</t>
  </si>
  <si>
    <t>TimeMCI_until_followup</t>
  </si>
  <si>
    <t/>
  </si>
  <si>
    <t>mmse</t>
  </si>
  <si>
    <t>ND_Assay</t>
  </si>
  <si>
    <t>Time_visit_until_Dem</t>
  </si>
  <si>
    <t>Time_visit_untilMCI</t>
  </si>
  <si>
    <t>Alle Converter mit MCI Entwicklung nach Baseline Untersuchtung (alle Besuche (incl. MCIDiag mit Scan)</t>
  </si>
  <si>
    <t>alle Converter (MCI visit, nach MCI Bedingungen gefiltert)</t>
  </si>
  <si>
    <t>Converter mit anderen Zeitpkt als MCIdate</t>
  </si>
  <si>
    <t>1</t>
  </si>
  <si>
    <t>2</t>
  </si>
  <si>
    <t>0.5</t>
  </si>
  <si>
    <t>3</t>
  </si>
  <si>
    <t>MCIBesuch</t>
  </si>
  <si>
    <t>DemBesuch</t>
  </si>
  <si>
    <t>26</t>
  </si>
  <si>
    <t>6</t>
  </si>
  <si>
    <t>27</t>
  </si>
  <si>
    <t>5</t>
  </si>
  <si>
    <t>25</t>
  </si>
  <si>
    <t>5.5</t>
  </si>
  <si>
    <t>4.5</t>
  </si>
  <si>
    <t>2.5</t>
  </si>
  <si>
    <t>29</t>
  </si>
  <si>
    <t>24</t>
  </si>
  <si>
    <t>mgl MCI</t>
  </si>
  <si>
    <t>Dem Besuch</t>
  </si>
  <si>
    <t>Alle followup Besuche der Converter mit BaselineMCI und Scan (Besuche nur bis DemDiag)</t>
  </si>
  <si>
    <t>MCI</t>
  </si>
  <si>
    <t>visdatDem</t>
  </si>
  <si>
    <t>Converter nach MCI und AD Bed gefiltert (Dem Date evtl abweichend bzw mehrere Dem Besuche mgl.)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</si>
</sst>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5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2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49" fontId="1" fillId="0" borderId="1" xfId="0" applyNumberFormat="1" applyFont="1" applyBorder="1" applyAlignment="1">
      <alignment horizontal="center" vertical="top"/>
    </xf>
    <xf numFmtId="14" fontId="1" fillId="0" borderId="1" xfId="0" applyNumberFormat="1" applyFont="1" applyBorder="1" applyAlignment="1">
      <alignment horizontal="center" vertical="top"/>
    </xf>
    <xf numFmtId="49" fontId="0" fillId="2" borderId="0" xfId="0" applyNumberFormat="1" applyFill="1"/>
    <xf numFmtId="14" fontId="1" fillId="3" borderId="1" xfId="0" applyNumberFormat="1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2" fontId="1" fillId="3" borderId="1" xfId="0" applyNumberFormat="1" applyFont="1" applyFill="1" applyBorder="1" applyAlignment="1">
      <alignment horizontal="center" vertical="top"/>
    </xf>
    <xf numFmtId="164" fontId="0" fillId="0" borderId="0" xfId="0" applyNumberFormat="1"/>
    <xf numFmtId="49" fontId="0" fillId="4" borderId="0" xfId="0" applyNumberFormat="1" applyFill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707DE-B298-4B6B-A115-503A32E413C7}">
  <sheetPr codeName="Tabelle1"/>
  <dimension ref="A1:Z71"/>
  <sheetViews>
    <sheetView topLeftCell="A24" zoomScale="74" workbookViewId="0">
      <selection sqref="A1:Z71"/>
    </sheetView>
  </sheetViews>
  <sheetFormatPr baseColWidth="10" defaultRowHeight="15" x14ac:dyDescent="0.25"/>
  <cols>
    <col min="1" max="1" width="40.28515625" customWidth="1"/>
    <col min="5" max="5" width="11.5703125" style="3"/>
  </cols>
  <sheetData>
    <row r="1" spans="1:26" x14ac:dyDescent="0.25">
      <c r="A1" t="s">
        <v>105</v>
      </c>
      <c r="B1" s="1" t="s">
        <v>0</v>
      </c>
      <c r="C1" t="s">
        <v>1</v>
      </c>
      <c r="D1" t="s">
        <v>2</v>
      </c>
      <c r="E1" s="3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s="1" t="s">
        <v>102</v>
      </c>
      <c r="Y1" s="1" t="s">
        <v>103</v>
      </c>
      <c r="Z1" s="1" t="s">
        <v>104</v>
      </c>
    </row>
    <row r="2" spans="1:26" x14ac:dyDescent="0.25">
      <c r="B2" s="1" t="s">
        <v>86</v>
      </c>
      <c r="C2" s="2">
        <v>43787</v>
      </c>
      <c r="E2" s="3">
        <v>28</v>
      </c>
      <c r="F2">
        <v>0</v>
      </c>
      <c r="G2">
        <v>0</v>
      </c>
      <c r="T2" s="3">
        <v>1</v>
      </c>
      <c r="U2" s="2">
        <v>45278</v>
      </c>
      <c r="V2">
        <v>6.0944558521560603</v>
      </c>
      <c r="W2" t="s">
        <v>98</v>
      </c>
      <c r="X2">
        <v>1</v>
      </c>
      <c r="Y2" s="2">
        <v>43787</v>
      </c>
      <c r="Z2">
        <v>2.0123203285420899</v>
      </c>
    </row>
    <row r="3" spans="1:26" x14ac:dyDescent="0.25">
      <c r="B3" s="1" t="s">
        <v>85</v>
      </c>
      <c r="C3" s="2">
        <v>43999</v>
      </c>
      <c r="E3" s="3">
        <v>30</v>
      </c>
      <c r="F3">
        <v>0</v>
      </c>
      <c r="G3">
        <v>0</v>
      </c>
      <c r="T3" s="3">
        <v>1</v>
      </c>
      <c r="U3" s="2">
        <v>45110</v>
      </c>
      <c r="V3">
        <v>5.0787132101300498</v>
      </c>
      <c r="W3" t="s">
        <v>98</v>
      </c>
      <c r="X3">
        <v>1</v>
      </c>
      <c r="Y3" s="2">
        <v>43999</v>
      </c>
      <c r="Z3">
        <v>2.0369609856262798</v>
      </c>
    </row>
    <row r="4" spans="1:26" x14ac:dyDescent="0.25">
      <c r="B4" s="1" t="s">
        <v>88</v>
      </c>
      <c r="C4" s="2">
        <v>43584</v>
      </c>
      <c r="E4" s="3">
        <v>30</v>
      </c>
      <c r="F4">
        <v>0</v>
      </c>
      <c r="G4">
        <v>0</v>
      </c>
      <c r="T4" s="3">
        <v>1</v>
      </c>
      <c r="U4" s="2">
        <v>44067</v>
      </c>
      <c r="V4" s="1" t="s">
        <v>96</v>
      </c>
      <c r="W4" t="s">
        <v>100</v>
      </c>
      <c r="X4">
        <v>1</v>
      </c>
      <c r="Y4" s="2">
        <v>43584</v>
      </c>
      <c r="Z4">
        <v>4.3066392881587996</v>
      </c>
    </row>
    <row r="5" spans="1:26" x14ac:dyDescent="0.25">
      <c r="B5" s="1" t="s">
        <v>91</v>
      </c>
      <c r="C5" s="2">
        <v>43325</v>
      </c>
      <c r="E5" s="3">
        <v>30</v>
      </c>
      <c r="F5">
        <v>0</v>
      </c>
      <c r="G5">
        <v>0</v>
      </c>
      <c r="T5" s="3">
        <v>1</v>
      </c>
      <c r="U5" s="2">
        <v>44778</v>
      </c>
      <c r="V5">
        <v>8.0027378507871294</v>
      </c>
      <c r="W5" t="s">
        <v>100</v>
      </c>
      <c r="X5">
        <v>1</v>
      </c>
      <c r="Y5" s="2">
        <v>43325</v>
      </c>
      <c r="Z5">
        <v>4.0246406570841904</v>
      </c>
    </row>
    <row r="6" spans="1:26" x14ac:dyDescent="0.25">
      <c r="B6" s="1" t="s">
        <v>89</v>
      </c>
      <c r="C6" s="2">
        <v>43643</v>
      </c>
      <c r="E6" s="3">
        <v>27</v>
      </c>
      <c r="F6">
        <v>0.5</v>
      </c>
      <c r="G6">
        <v>0.5</v>
      </c>
      <c r="T6" s="3">
        <v>1</v>
      </c>
      <c r="U6" s="2">
        <v>44729</v>
      </c>
      <c r="V6">
        <v>7.0225872689938402</v>
      </c>
      <c r="W6" t="s">
        <v>100</v>
      </c>
      <c r="X6">
        <v>1</v>
      </c>
      <c r="Y6" s="2">
        <v>43643</v>
      </c>
      <c r="Z6">
        <v>4.0492813141683799</v>
      </c>
    </row>
    <row r="7" spans="1:26" x14ac:dyDescent="0.25">
      <c r="B7" s="1" t="s">
        <v>77</v>
      </c>
      <c r="C7" s="2">
        <v>42808</v>
      </c>
      <c r="D7">
        <v>2</v>
      </c>
      <c r="E7" s="3">
        <v>28</v>
      </c>
      <c r="F7">
        <v>0.5</v>
      </c>
      <c r="G7">
        <v>0.5</v>
      </c>
      <c r="H7">
        <v>4189.7973350062302</v>
      </c>
      <c r="I7">
        <v>2.28972333525636</v>
      </c>
      <c r="J7">
        <v>9937.1267105227598</v>
      </c>
      <c r="K7">
        <v>1.12896723928072</v>
      </c>
      <c r="L7" s="4">
        <v>638.66668130305902</v>
      </c>
      <c r="M7">
        <v>1.57045332706484</v>
      </c>
      <c r="N7" s="4">
        <v>640.20068199862703</v>
      </c>
      <c r="O7">
        <v>4.2691766743836803</v>
      </c>
      <c r="P7" s="4">
        <v>86.686000000000007</v>
      </c>
      <c r="Q7">
        <v>2.1015999999999999</v>
      </c>
      <c r="R7" s="4">
        <v>6.4270759537236585E-2</v>
      </c>
      <c r="S7" s="4">
        <v>7.3675873993846634</v>
      </c>
      <c r="T7">
        <v>1</v>
      </c>
      <c r="U7" s="2">
        <v>43180</v>
      </c>
      <c r="V7">
        <v>1.0184804928131399</v>
      </c>
      <c r="W7" t="s">
        <v>23</v>
      </c>
    </row>
    <row r="8" spans="1:26" x14ac:dyDescent="0.25">
      <c r="B8" s="1" t="s">
        <v>42</v>
      </c>
      <c r="C8" s="2">
        <v>42704</v>
      </c>
      <c r="D8">
        <v>2</v>
      </c>
      <c r="E8" s="3">
        <v>28</v>
      </c>
      <c r="F8">
        <v>0.5</v>
      </c>
      <c r="G8">
        <v>0.5</v>
      </c>
      <c r="H8">
        <v>3006.8566161589501</v>
      </c>
      <c r="I8">
        <v>6.3823978294633399</v>
      </c>
      <c r="J8">
        <v>8095.6543798631601</v>
      </c>
      <c r="K8">
        <v>2.47421405590182</v>
      </c>
      <c r="L8" s="4">
        <v>342.913289495355</v>
      </c>
      <c r="M8">
        <v>2.42404561435055</v>
      </c>
      <c r="N8" s="4">
        <v>938.00903870654201</v>
      </c>
      <c r="O8">
        <v>2.56717437482691</v>
      </c>
      <c r="P8" s="4">
        <v>92.41</v>
      </c>
      <c r="Q8">
        <v>1.6669</v>
      </c>
      <c r="R8" s="4">
        <v>4.2357698760992712E-2</v>
      </c>
      <c r="S8" s="4">
        <v>3.7107811870506979</v>
      </c>
      <c r="T8">
        <v>1</v>
      </c>
      <c r="U8" s="2">
        <v>43808</v>
      </c>
      <c r="V8">
        <v>3.0225872689938398</v>
      </c>
      <c r="W8" t="s">
        <v>23</v>
      </c>
    </row>
    <row r="9" spans="1:26" x14ac:dyDescent="0.25">
      <c r="B9" s="1" t="s">
        <v>33</v>
      </c>
      <c r="C9" s="2">
        <v>41988</v>
      </c>
      <c r="D9">
        <v>2</v>
      </c>
      <c r="E9" s="3">
        <v>29</v>
      </c>
      <c r="F9">
        <v>0.5</v>
      </c>
      <c r="G9">
        <v>0.5</v>
      </c>
      <c r="H9">
        <v>2645.5398204569401</v>
      </c>
      <c r="I9">
        <v>0.95739129841869497</v>
      </c>
      <c r="J9">
        <v>6661.7935382734904</v>
      </c>
      <c r="K9">
        <v>0.72231257985034003</v>
      </c>
      <c r="L9" s="4">
        <v>454.70446559037902</v>
      </c>
      <c r="M9">
        <v>1.71294460625668</v>
      </c>
      <c r="N9">
        <v>372.86121392602797</v>
      </c>
      <c r="O9">
        <v>3.0914573079880801E-2</v>
      </c>
      <c r="P9">
        <v>32.9</v>
      </c>
      <c r="Q9">
        <v>8.31</v>
      </c>
      <c r="R9" s="4">
        <v>6.825556255653982E-2</v>
      </c>
      <c r="S9">
        <v>13.820804425239483</v>
      </c>
      <c r="T9">
        <v>1</v>
      </c>
      <c r="U9" s="2">
        <v>44902</v>
      </c>
      <c r="V9">
        <v>7.9780971937029399</v>
      </c>
      <c r="W9" t="s">
        <v>23</v>
      </c>
    </row>
    <row r="10" spans="1:26" x14ac:dyDescent="0.25">
      <c r="B10" s="1" t="s">
        <v>76</v>
      </c>
      <c r="C10" s="2">
        <v>43074</v>
      </c>
      <c r="D10">
        <v>2</v>
      </c>
      <c r="E10" s="3">
        <v>29</v>
      </c>
      <c r="F10">
        <v>0.5</v>
      </c>
      <c r="G10">
        <v>0.5</v>
      </c>
      <c r="H10">
        <v>1780.03363053825</v>
      </c>
      <c r="I10">
        <v>3.4932115782750901</v>
      </c>
      <c r="J10">
        <v>4378.02395393186</v>
      </c>
      <c r="K10">
        <v>1.35371735796965</v>
      </c>
      <c r="L10" s="4">
        <v>370.70174848529501</v>
      </c>
      <c r="M10">
        <v>1.0114030486579599</v>
      </c>
      <c r="N10">
        <v>197.63807335852101</v>
      </c>
      <c r="O10">
        <v>2.03330372377531</v>
      </c>
      <c r="P10">
        <v>52.871000000000002</v>
      </c>
      <c r="Q10">
        <v>2.3363999999999998</v>
      </c>
      <c r="R10">
        <v>8.4673302929823266E-2</v>
      </c>
      <c r="S10" s="4">
        <v>7.0114381888993016</v>
      </c>
      <c r="T10">
        <v>1</v>
      </c>
      <c r="U10" s="2">
        <v>45103</v>
      </c>
      <c r="V10">
        <v>5.5550992470910296</v>
      </c>
      <c r="W10" t="s">
        <v>23</v>
      </c>
    </row>
    <row r="11" spans="1:26" x14ac:dyDescent="0.25">
      <c r="B11" s="1" t="s">
        <v>80</v>
      </c>
      <c r="C11" s="2">
        <v>41921</v>
      </c>
      <c r="D11">
        <v>2</v>
      </c>
      <c r="E11" s="3">
        <v>29</v>
      </c>
      <c r="F11">
        <v>0.5</v>
      </c>
      <c r="G11">
        <v>0.5</v>
      </c>
      <c r="H11">
        <v>4062.0499220659299</v>
      </c>
      <c r="I11">
        <v>0.46615996790090197</v>
      </c>
      <c r="J11">
        <v>9343.7325648272708</v>
      </c>
      <c r="K11">
        <v>0.73468989364882797</v>
      </c>
      <c r="L11" s="4">
        <v>438.49053107051299</v>
      </c>
      <c r="M11">
        <v>2.7570194647665698</v>
      </c>
      <c r="N11" s="4">
        <v>562.19937605134396</v>
      </c>
      <c r="O11">
        <v>5.9795810604098696</v>
      </c>
      <c r="P11" s="4">
        <v>79.7</v>
      </c>
      <c r="Q11">
        <v>1.55</v>
      </c>
      <c r="R11" s="4">
        <v>4.6928840057037631E-2</v>
      </c>
      <c r="S11" s="4">
        <v>5.5017632505710532</v>
      </c>
      <c r="T11">
        <v>1</v>
      </c>
      <c r="U11" s="2">
        <v>43388</v>
      </c>
      <c r="V11">
        <v>4.0164271047227897</v>
      </c>
      <c r="W11" t="s">
        <v>23</v>
      </c>
    </row>
    <row r="12" spans="1:26" x14ac:dyDescent="0.25">
      <c r="B12" s="1" t="s">
        <v>71</v>
      </c>
      <c r="C12" s="2">
        <v>42530</v>
      </c>
      <c r="D12">
        <v>2</v>
      </c>
      <c r="E12" s="3">
        <v>29</v>
      </c>
      <c r="F12">
        <v>0.5</v>
      </c>
      <c r="G12">
        <v>0.5</v>
      </c>
      <c r="H12">
        <v>3545.7167692989001</v>
      </c>
      <c r="I12">
        <v>0.14392962261419201</v>
      </c>
      <c r="J12">
        <v>9450.7424110522406</v>
      </c>
      <c r="K12">
        <v>1.2996097428442801</v>
      </c>
      <c r="L12" s="4">
        <v>469.89578690466197</v>
      </c>
      <c r="M12">
        <v>0.95355287399074296</v>
      </c>
      <c r="N12" s="4">
        <v>978.01648930103295</v>
      </c>
      <c r="O12">
        <v>2.1505121233116702</v>
      </c>
      <c r="P12" s="4">
        <v>95.766000000000005</v>
      </c>
      <c r="Q12">
        <v>0.77309000000000005</v>
      </c>
      <c r="R12" s="4">
        <v>4.972051575071381E-2</v>
      </c>
      <c r="S12" s="4">
        <v>4.9067078807161408</v>
      </c>
      <c r="T12">
        <v>1</v>
      </c>
      <c r="U12" s="2">
        <v>44386</v>
      </c>
      <c r="V12">
        <v>5.0814510609171801</v>
      </c>
      <c r="W12" t="s">
        <v>23</v>
      </c>
    </row>
    <row r="13" spans="1:26" x14ac:dyDescent="0.25">
      <c r="B13" s="1" t="s">
        <v>78</v>
      </c>
      <c r="C13" s="2">
        <v>42403</v>
      </c>
      <c r="D13">
        <v>2</v>
      </c>
      <c r="E13" s="3">
        <v>29</v>
      </c>
      <c r="F13">
        <v>0.5</v>
      </c>
      <c r="G13">
        <v>0.5</v>
      </c>
      <c r="H13">
        <v>2692.01529632658</v>
      </c>
      <c r="I13">
        <v>2.5556983423045101</v>
      </c>
      <c r="J13">
        <v>7425.5161844636204</v>
      </c>
      <c r="K13">
        <v>1.96312511070476</v>
      </c>
      <c r="L13" s="4">
        <v>289.36579644931902</v>
      </c>
      <c r="M13">
        <v>1.37879461037324</v>
      </c>
      <c r="N13" s="4">
        <v>846.99372717032702</v>
      </c>
      <c r="O13">
        <v>6.7871695817613098E-2</v>
      </c>
      <c r="P13" s="4">
        <v>108</v>
      </c>
      <c r="Q13">
        <v>1.85</v>
      </c>
      <c r="R13" s="4">
        <v>3.8969115312785657E-2</v>
      </c>
      <c r="S13" s="4">
        <v>2.679312930086287</v>
      </c>
      <c r="T13">
        <v>1</v>
      </c>
      <c r="U13" s="2">
        <v>44634</v>
      </c>
      <c r="V13">
        <v>6.1081451060917198</v>
      </c>
      <c r="W13" t="s">
        <v>23</v>
      </c>
    </row>
    <row r="14" spans="1:26" x14ac:dyDescent="0.25">
      <c r="B14" s="1" t="s">
        <v>63</v>
      </c>
      <c r="C14" s="2">
        <v>43123</v>
      </c>
      <c r="D14">
        <v>2</v>
      </c>
      <c r="E14" s="3">
        <v>29</v>
      </c>
      <c r="F14">
        <v>0.5</v>
      </c>
      <c r="G14">
        <v>0.5</v>
      </c>
      <c r="T14">
        <v>1</v>
      </c>
      <c r="U14" s="2">
        <v>43495</v>
      </c>
      <c r="V14">
        <v>1.0184804928131399</v>
      </c>
      <c r="W14" t="s">
        <v>23</v>
      </c>
    </row>
    <row r="15" spans="1:26" x14ac:dyDescent="0.25">
      <c r="B15" s="1" t="s">
        <v>68</v>
      </c>
      <c r="C15" s="2">
        <v>43139</v>
      </c>
      <c r="D15">
        <v>2</v>
      </c>
      <c r="E15" s="3">
        <v>29</v>
      </c>
      <c r="F15">
        <v>0.5</v>
      </c>
      <c r="G15">
        <v>0.5</v>
      </c>
      <c r="T15">
        <v>1</v>
      </c>
      <c r="U15" s="2">
        <v>43864</v>
      </c>
      <c r="V15">
        <v>1.9849418206707701</v>
      </c>
      <c r="W15" t="s">
        <v>23</v>
      </c>
    </row>
    <row r="16" spans="1:26" x14ac:dyDescent="0.25">
      <c r="B16" s="1" t="s">
        <v>55</v>
      </c>
      <c r="C16" s="2">
        <v>42520</v>
      </c>
      <c r="D16">
        <v>2</v>
      </c>
      <c r="E16" s="3">
        <v>30</v>
      </c>
      <c r="F16">
        <v>0.5</v>
      </c>
      <c r="G16">
        <v>0.5</v>
      </c>
      <c r="H16">
        <v>3656.9815487815299</v>
      </c>
      <c r="I16">
        <v>0.90406699667452195</v>
      </c>
      <c r="J16">
        <v>9905.7539828930003</v>
      </c>
      <c r="K16">
        <v>3.0424870364023802</v>
      </c>
      <c r="L16">
        <v>918.70779050479405</v>
      </c>
      <c r="M16">
        <v>1.4020380085389299</v>
      </c>
      <c r="N16" s="4">
        <v>765.55917529820795</v>
      </c>
      <c r="O16">
        <v>3.1507121059779899</v>
      </c>
      <c r="P16">
        <v>61.484000000000002</v>
      </c>
      <c r="Q16">
        <v>3.82</v>
      </c>
      <c r="R16">
        <v>9.2744862439687117E-2</v>
      </c>
      <c r="S16">
        <v>14.942225465239639</v>
      </c>
      <c r="T16">
        <v>1</v>
      </c>
      <c r="U16" s="2">
        <v>44691</v>
      </c>
      <c r="V16">
        <v>5.9438740588637904</v>
      </c>
      <c r="W16" t="s">
        <v>23</v>
      </c>
    </row>
    <row r="17" spans="2:26" x14ac:dyDescent="0.25">
      <c r="B17" s="1" t="s">
        <v>72</v>
      </c>
      <c r="C17" s="2">
        <v>41884</v>
      </c>
      <c r="D17">
        <v>2</v>
      </c>
      <c r="E17" s="3">
        <v>30</v>
      </c>
      <c r="F17">
        <v>0.5</v>
      </c>
      <c r="G17">
        <v>0.5</v>
      </c>
      <c r="H17">
        <v>2741.37</v>
      </c>
      <c r="I17">
        <v>2.15</v>
      </c>
      <c r="J17">
        <v>6095.0005218566703</v>
      </c>
      <c r="K17">
        <v>2.8716230354394501</v>
      </c>
      <c r="L17" s="4">
        <v>464.93097647510399</v>
      </c>
      <c r="M17">
        <v>2.20127024487152</v>
      </c>
      <c r="N17">
        <v>440.89676527717501</v>
      </c>
      <c r="O17">
        <v>2.65106625597944</v>
      </c>
      <c r="P17">
        <v>55.4</v>
      </c>
      <c r="Q17">
        <v>2.2799999999999998</v>
      </c>
      <c r="R17" s="4">
        <v>7.6280711512306129E-2</v>
      </c>
      <c r="S17" s="4">
        <v>8.3922558930524183</v>
      </c>
      <c r="T17">
        <v>1</v>
      </c>
      <c r="U17" s="2">
        <v>44459</v>
      </c>
      <c r="V17">
        <v>7.04996577686516</v>
      </c>
      <c r="W17" t="s">
        <v>23</v>
      </c>
    </row>
    <row r="18" spans="2:26" x14ac:dyDescent="0.25">
      <c r="B18" s="1" t="s">
        <v>59</v>
      </c>
      <c r="C18" s="2">
        <v>43222</v>
      </c>
      <c r="D18">
        <v>2</v>
      </c>
      <c r="E18" s="3">
        <v>30</v>
      </c>
      <c r="F18">
        <v>0.5</v>
      </c>
      <c r="G18">
        <v>0.5</v>
      </c>
      <c r="H18">
        <v>2974.0146777909599</v>
      </c>
      <c r="I18">
        <v>4.75733866641162</v>
      </c>
      <c r="J18">
        <v>8009.8984199040096</v>
      </c>
      <c r="K18">
        <v>4.3872711148722701</v>
      </c>
      <c r="L18" s="4">
        <v>369.93607123790503</v>
      </c>
      <c r="M18">
        <v>2.7745496081346799E-2</v>
      </c>
      <c r="N18">
        <v>446.53858577619201</v>
      </c>
      <c r="O18">
        <v>20.859436611853202</v>
      </c>
      <c r="P18">
        <v>68.552000000000007</v>
      </c>
      <c r="Q18">
        <v>0.1211</v>
      </c>
      <c r="R18" s="4">
        <v>4.6184864257284595E-2</v>
      </c>
      <c r="S18" s="4">
        <v>5.3964300273938761</v>
      </c>
      <c r="T18">
        <v>1</v>
      </c>
      <c r="U18" s="2">
        <v>45015</v>
      </c>
      <c r="V18">
        <v>4.9089664613278599</v>
      </c>
      <c r="W18" t="s">
        <v>23</v>
      </c>
    </row>
    <row r="19" spans="2:26" x14ac:dyDescent="0.25">
      <c r="B19" s="1" t="s">
        <v>57</v>
      </c>
      <c r="C19" s="2">
        <v>42585</v>
      </c>
      <c r="D19">
        <v>2</v>
      </c>
      <c r="E19" s="3">
        <v>24</v>
      </c>
      <c r="F19">
        <v>1</v>
      </c>
      <c r="G19">
        <v>0.5</v>
      </c>
      <c r="H19">
        <v>2200.1422244508699</v>
      </c>
      <c r="I19">
        <v>2.4678272372942298</v>
      </c>
      <c r="J19">
        <v>5782.4657419073001</v>
      </c>
      <c r="K19">
        <v>2.3978373686680601</v>
      </c>
      <c r="L19" s="4">
        <v>182.51580662138699</v>
      </c>
      <c r="M19">
        <v>0.54146641936859297</v>
      </c>
      <c r="N19" s="4">
        <v>578.36252533019297</v>
      </c>
      <c r="O19">
        <v>5.1788529574398199</v>
      </c>
      <c r="P19">
        <v>58.195999999999998</v>
      </c>
      <c r="Q19">
        <v>3.2480000000000002</v>
      </c>
      <c r="R19" s="4">
        <v>3.1563664147396336E-2</v>
      </c>
      <c r="S19" s="4">
        <v>3.136225971224603</v>
      </c>
      <c r="T19">
        <v>1</v>
      </c>
      <c r="U19" s="2">
        <v>43370</v>
      </c>
      <c r="V19">
        <v>2.1492128678986999</v>
      </c>
      <c r="W19" t="s">
        <v>23</v>
      </c>
    </row>
    <row r="20" spans="2:26" x14ac:dyDescent="0.25">
      <c r="B20" s="1">
        <v>779893593</v>
      </c>
      <c r="C20" s="2">
        <v>42107</v>
      </c>
      <c r="D20">
        <v>2</v>
      </c>
      <c r="E20" s="3">
        <v>25</v>
      </c>
      <c r="F20">
        <v>1</v>
      </c>
      <c r="G20">
        <v>0.5</v>
      </c>
      <c r="H20">
        <v>2196.2098392070302</v>
      </c>
      <c r="I20">
        <v>0.26774336767651102</v>
      </c>
      <c r="J20">
        <v>4815.3906850167104</v>
      </c>
      <c r="K20">
        <v>0.57474980645000195</v>
      </c>
      <c r="L20" s="4">
        <v>218.55309766294999</v>
      </c>
      <c r="M20">
        <v>0.30099744824498798</v>
      </c>
      <c r="N20">
        <v>355.74068151058799</v>
      </c>
      <c r="O20">
        <v>0.36353804681965701</v>
      </c>
      <c r="P20">
        <v>64.900000000000006</v>
      </c>
      <c r="Q20">
        <v>3.71</v>
      </c>
      <c r="R20" s="4">
        <v>4.5386368824234156E-2</v>
      </c>
      <c r="S20" s="4">
        <v>3.3675361735431428</v>
      </c>
      <c r="T20">
        <v>1</v>
      </c>
      <c r="U20" s="2">
        <v>42838</v>
      </c>
      <c r="V20">
        <v>2.00136892539357</v>
      </c>
      <c r="W20" t="s">
        <v>23</v>
      </c>
    </row>
    <row r="21" spans="2:26" x14ac:dyDescent="0.25">
      <c r="B21" s="1" t="s">
        <v>37</v>
      </c>
      <c r="C21" s="2">
        <v>43185</v>
      </c>
      <c r="D21">
        <v>2</v>
      </c>
      <c r="E21" s="3">
        <v>26</v>
      </c>
      <c r="F21">
        <v>1</v>
      </c>
      <c r="G21">
        <v>0.5</v>
      </c>
      <c r="H21">
        <v>3850.7270706582999</v>
      </c>
      <c r="I21">
        <v>4.8150987057303896</v>
      </c>
      <c r="J21">
        <v>9360.0443195085099</v>
      </c>
      <c r="K21">
        <v>3.9974465154132099</v>
      </c>
      <c r="L21" s="4">
        <v>485.36093228524402</v>
      </c>
      <c r="M21">
        <v>0.88177103154997405</v>
      </c>
      <c r="N21">
        <v>403.21927666681802</v>
      </c>
      <c r="O21">
        <v>4.8248743794420797E-2</v>
      </c>
      <c r="P21" s="4">
        <v>83.590999999999994</v>
      </c>
      <c r="Q21">
        <v>3.0396000000000001</v>
      </c>
      <c r="R21" s="4">
        <v>5.185455492701449E-2</v>
      </c>
      <c r="S21" s="4">
        <v>5.8063778670579858</v>
      </c>
      <c r="T21">
        <v>1</v>
      </c>
      <c r="U21" s="2">
        <v>44265</v>
      </c>
      <c r="V21">
        <v>2.9568788501026702</v>
      </c>
      <c r="W21" t="s">
        <v>23</v>
      </c>
    </row>
    <row r="22" spans="2:26" x14ac:dyDescent="0.25">
      <c r="B22" s="1" t="s">
        <v>27</v>
      </c>
      <c r="C22" s="2">
        <v>43046</v>
      </c>
      <c r="D22">
        <v>2</v>
      </c>
      <c r="E22" s="3">
        <v>26</v>
      </c>
      <c r="F22">
        <v>1</v>
      </c>
      <c r="G22">
        <v>0.5</v>
      </c>
      <c r="T22">
        <v>1</v>
      </c>
      <c r="U22" s="2">
        <v>44539</v>
      </c>
      <c r="V22">
        <v>4.0876112251882297</v>
      </c>
      <c r="W22" t="s">
        <v>23</v>
      </c>
    </row>
    <row r="23" spans="2:26" x14ac:dyDescent="0.25">
      <c r="B23" s="1" t="s">
        <v>52</v>
      </c>
      <c r="C23" s="2">
        <v>42137</v>
      </c>
      <c r="D23">
        <v>2</v>
      </c>
      <c r="E23" s="3">
        <v>26</v>
      </c>
      <c r="F23">
        <v>1</v>
      </c>
      <c r="G23">
        <v>0.5</v>
      </c>
      <c r="T23">
        <v>1</v>
      </c>
      <c r="U23" s="2">
        <v>43593</v>
      </c>
      <c r="V23">
        <v>3.9863107460643401</v>
      </c>
      <c r="W23" t="s">
        <v>23</v>
      </c>
    </row>
    <row r="24" spans="2:26" x14ac:dyDescent="0.25">
      <c r="B24" s="1" t="s">
        <v>30</v>
      </c>
      <c r="C24" s="2">
        <v>42219</v>
      </c>
      <c r="D24">
        <v>2</v>
      </c>
      <c r="E24" s="3">
        <v>27</v>
      </c>
      <c r="F24">
        <v>1</v>
      </c>
      <c r="G24">
        <v>0.5</v>
      </c>
      <c r="H24">
        <v>3631.2131453995498</v>
      </c>
      <c r="I24">
        <v>2.1291827628465998</v>
      </c>
      <c r="J24">
        <v>12683.2538853679</v>
      </c>
      <c r="K24">
        <v>5.1190149732615398</v>
      </c>
      <c r="L24" s="4">
        <v>510.11541989150697</v>
      </c>
      <c r="M24">
        <v>2.8556070720445401</v>
      </c>
      <c r="N24" s="4">
        <v>852.94171338756098</v>
      </c>
      <c r="O24">
        <v>6.6297219055850096</v>
      </c>
      <c r="P24" s="4">
        <v>97.8</v>
      </c>
      <c r="Q24">
        <v>3.92</v>
      </c>
      <c r="R24" s="4">
        <v>4.0219601728544142E-2</v>
      </c>
      <c r="S24" s="4">
        <v>5.2159040888702144</v>
      </c>
      <c r="T24">
        <v>1</v>
      </c>
      <c r="U24" s="2">
        <v>42634</v>
      </c>
      <c r="V24">
        <v>1.1362080766598199</v>
      </c>
      <c r="W24" t="s">
        <v>23</v>
      </c>
    </row>
    <row r="25" spans="2:26" x14ac:dyDescent="0.25">
      <c r="B25" s="1" t="s">
        <v>26</v>
      </c>
      <c r="C25" s="2">
        <v>41970</v>
      </c>
      <c r="D25">
        <v>2</v>
      </c>
      <c r="E25" s="3">
        <v>27</v>
      </c>
      <c r="F25">
        <v>1</v>
      </c>
      <c r="G25">
        <v>0.5</v>
      </c>
      <c r="H25">
        <v>2485.1508582819501</v>
      </c>
      <c r="I25">
        <v>1.7150211682202301</v>
      </c>
      <c r="J25">
        <v>6862.7047117243101</v>
      </c>
      <c r="K25">
        <v>8.6641168620004497E-2</v>
      </c>
      <c r="L25" s="4">
        <v>416.451925719163</v>
      </c>
      <c r="M25">
        <v>0.28035003799354402</v>
      </c>
      <c r="N25" s="4">
        <v>602.76456602430403</v>
      </c>
      <c r="O25">
        <v>1.7934178095047599</v>
      </c>
      <c r="P25" s="4">
        <v>86.5</v>
      </c>
      <c r="Q25">
        <v>1.1399999999999999</v>
      </c>
      <c r="R25" s="4">
        <v>6.0683352003721297E-2</v>
      </c>
      <c r="S25" s="4">
        <v>4.8144731297013061</v>
      </c>
      <c r="T25">
        <v>1</v>
      </c>
      <c r="U25" s="2">
        <v>42689</v>
      </c>
      <c r="V25">
        <v>1.9685147159479801</v>
      </c>
      <c r="W25" t="s">
        <v>23</v>
      </c>
    </row>
    <row r="26" spans="2:26" x14ac:dyDescent="0.25">
      <c r="B26" s="1" t="s">
        <v>87</v>
      </c>
      <c r="C26" s="2">
        <v>44004</v>
      </c>
      <c r="E26" s="3">
        <v>27</v>
      </c>
      <c r="F26">
        <v>1</v>
      </c>
      <c r="G26">
        <v>0.5</v>
      </c>
      <c r="T26" s="3">
        <v>1</v>
      </c>
      <c r="U26" s="2">
        <v>45215</v>
      </c>
      <c r="V26">
        <v>6.3189596167008899</v>
      </c>
      <c r="W26" t="s">
        <v>99</v>
      </c>
      <c r="X26">
        <v>1</v>
      </c>
      <c r="Y26" s="2">
        <v>44004</v>
      </c>
      <c r="Z26">
        <v>3.0034223134839202</v>
      </c>
    </row>
    <row r="27" spans="2:26" x14ac:dyDescent="0.25">
      <c r="B27" s="1" t="s">
        <v>53</v>
      </c>
      <c r="C27" s="2">
        <v>42044</v>
      </c>
      <c r="D27">
        <v>2</v>
      </c>
      <c r="E27" s="3">
        <v>29</v>
      </c>
      <c r="F27">
        <v>1</v>
      </c>
      <c r="G27">
        <v>0.5</v>
      </c>
      <c r="T27">
        <v>1</v>
      </c>
      <c r="U27" s="2">
        <v>44232</v>
      </c>
      <c r="V27">
        <v>5.99041752224504</v>
      </c>
      <c r="W27" t="s">
        <v>23</v>
      </c>
    </row>
    <row r="28" spans="2:26" x14ac:dyDescent="0.25">
      <c r="B28" s="1" t="s">
        <v>74</v>
      </c>
      <c r="C28" s="2">
        <v>42163</v>
      </c>
      <c r="D28">
        <v>2</v>
      </c>
      <c r="E28" s="3">
        <v>29</v>
      </c>
      <c r="F28">
        <v>1</v>
      </c>
      <c r="G28">
        <v>0.5</v>
      </c>
      <c r="T28">
        <v>1</v>
      </c>
      <c r="U28" s="2">
        <v>43271</v>
      </c>
      <c r="V28">
        <v>3.0335386721423698</v>
      </c>
      <c r="W28" t="s">
        <v>23</v>
      </c>
    </row>
    <row r="29" spans="2:26" x14ac:dyDescent="0.25">
      <c r="B29" s="1" t="s">
        <v>64</v>
      </c>
      <c r="C29" s="2">
        <v>42450</v>
      </c>
      <c r="D29">
        <v>2</v>
      </c>
      <c r="E29" s="3">
        <v>30</v>
      </c>
      <c r="F29">
        <v>1</v>
      </c>
      <c r="G29">
        <v>0.5</v>
      </c>
      <c r="T29">
        <v>1</v>
      </c>
      <c r="U29" s="2">
        <v>44662</v>
      </c>
      <c r="V29">
        <v>6.0561259411362096</v>
      </c>
      <c r="W29" t="s">
        <v>23</v>
      </c>
    </row>
    <row r="30" spans="2:26" x14ac:dyDescent="0.25">
      <c r="B30" s="1" t="s">
        <v>24</v>
      </c>
      <c r="C30" s="2">
        <v>43280</v>
      </c>
      <c r="D30">
        <v>2</v>
      </c>
      <c r="E30" s="3">
        <v>24</v>
      </c>
      <c r="F30">
        <v>1.5</v>
      </c>
      <c r="G30">
        <v>0.5</v>
      </c>
      <c r="H30">
        <v>892.67421252607505</v>
      </c>
      <c r="I30">
        <v>0.50818069182377201</v>
      </c>
      <c r="J30">
        <v>2590.9937250276398</v>
      </c>
      <c r="K30">
        <v>3.1171741014502898</v>
      </c>
      <c r="L30" s="4">
        <v>276.07647615992801</v>
      </c>
      <c r="M30">
        <v>6.2703709891374997</v>
      </c>
      <c r="N30">
        <v>184.45941239790599</v>
      </c>
      <c r="O30">
        <v>0.28123107403689401</v>
      </c>
      <c r="P30">
        <v>16.852</v>
      </c>
      <c r="Q30">
        <v>0.72438999999999998</v>
      </c>
      <c r="R30">
        <v>0.10655235228598746</v>
      </c>
      <c r="S30">
        <v>16.382416102535487</v>
      </c>
      <c r="T30">
        <v>1</v>
      </c>
      <c r="U30" s="2">
        <v>43789</v>
      </c>
      <c r="V30">
        <v>1.3935660506502401</v>
      </c>
      <c r="W30" t="s">
        <v>23</v>
      </c>
    </row>
    <row r="31" spans="2:26" x14ac:dyDescent="0.25">
      <c r="B31" s="1" t="s">
        <v>49</v>
      </c>
      <c r="C31" s="2">
        <v>41963</v>
      </c>
      <c r="D31">
        <v>2</v>
      </c>
      <c r="E31" s="3">
        <v>26</v>
      </c>
      <c r="F31">
        <v>1.5</v>
      </c>
      <c r="G31">
        <v>0.5</v>
      </c>
      <c r="H31">
        <v>2051.0522248993002</v>
      </c>
      <c r="I31">
        <v>0.42962219104194699</v>
      </c>
      <c r="J31">
        <v>5032.8796159413596</v>
      </c>
      <c r="K31">
        <v>0.68251394771115004</v>
      </c>
      <c r="L31" s="4">
        <v>350.72724818871802</v>
      </c>
      <c r="M31">
        <v>3.67999694683615</v>
      </c>
      <c r="N31">
        <v>325.67327635740702</v>
      </c>
      <c r="O31">
        <v>0.77099002455244903</v>
      </c>
      <c r="P31">
        <v>45.5</v>
      </c>
      <c r="Q31">
        <v>0.25600000000000001</v>
      </c>
      <c r="R31" s="4">
        <v>6.9687192015841073E-2</v>
      </c>
      <c r="S31" s="4">
        <v>7.7082911689828135</v>
      </c>
      <c r="T31">
        <v>1</v>
      </c>
      <c r="U31" s="2">
        <v>42711</v>
      </c>
      <c r="V31">
        <v>2.0479123887748099</v>
      </c>
      <c r="W31" t="s">
        <v>23</v>
      </c>
    </row>
    <row r="32" spans="2:26" x14ac:dyDescent="0.25">
      <c r="B32" s="1" t="s">
        <v>25</v>
      </c>
      <c r="C32" s="2">
        <v>43083</v>
      </c>
      <c r="D32">
        <v>2</v>
      </c>
      <c r="E32" s="3">
        <v>27</v>
      </c>
      <c r="F32">
        <v>1.5</v>
      </c>
      <c r="G32">
        <v>0.5</v>
      </c>
      <c r="H32">
        <v>3218.7056090076499</v>
      </c>
      <c r="I32">
        <v>1.36469187843887</v>
      </c>
      <c r="J32">
        <v>8093.0264034967704</v>
      </c>
      <c r="K32">
        <v>1.5217782998343801</v>
      </c>
      <c r="L32" s="4">
        <v>481.97777075878003</v>
      </c>
      <c r="M32">
        <v>3.0789600021835302</v>
      </c>
      <c r="N32" s="4">
        <v>518.63691476047404</v>
      </c>
      <c r="O32">
        <v>2.2599876371343299</v>
      </c>
      <c r="P32" s="4">
        <v>89.234999999999999</v>
      </c>
      <c r="Q32">
        <v>8.2754999999999992</v>
      </c>
      <c r="R32" s="4">
        <v>5.9554701384704603E-2</v>
      </c>
      <c r="S32" s="4">
        <v>5.4012189248476501</v>
      </c>
      <c r="T32">
        <v>1</v>
      </c>
      <c r="U32" s="2">
        <v>43479</v>
      </c>
      <c r="V32">
        <v>1.08418891170431</v>
      </c>
      <c r="W32" t="s">
        <v>23</v>
      </c>
    </row>
    <row r="33" spans="2:23" x14ac:dyDescent="0.25">
      <c r="B33" s="1" t="s">
        <v>73</v>
      </c>
      <c r="C33" s="2">
        <v>42191</v>
      </c>
      <c r="D33">
        <v>2</v>
      </c>
      <c r="E33" s="3">
        <v>27</v>
      </c>
      <c r="F33">
        <v>1.5</v>
      </c>
      <c r="G33">
        <v>0.5</v>
      </c>
      <c r="T33">
        <v>1</v>
      </c>
      <c r="U33" s="2">
        <v>43318</v>
      </c>
      <c r="V33">
        <v>3.08555783709788</v>
      </c>
      <c r="W33" t="s">
        <v>23</v>
      </c>
    </row>
    <row r="34" spans="2:23" x14ac:dyDescent="0.25">
      <c r="B34" s="1" t="s">
        <v>69</v>
      </c>
      <c r="C34" s="2">
        <v>42451</v>
      </c>
      <c r="D34">
        <v>2</v>
      </c>
      <c r="E34" s="3">
        <v>29</v>
      </c>
      <c r="F34">
        <v>1.5</v>
      </c>
      <c r="G34">
        <v>0.5</v>
      </c>
      <c r="H34">
        <v>3548.9624704080102</v>
      </c>
      <c r="I34">
        <v>0.72673221626281204</v>
      </c>
      <c r="J34">
        <v>8832.2175418635197</v>
      </c>
      <c r="K34">
        <v>6.1239294809451099</v>
      </c>
      <c r="L34" s="4">
        <v>298.456459423475</v>
      </c>
      <c r="M34">
        <v>0.76233508149546803</v>
      </c>
      <c r="N34" s="4">
        <v>895.67778523266497</v>
      </c>
      <c r="O34">
        <v>2.7805250210522701</v>
      </c>
      <c r="P34" s="4">
        <v>103.96</v>
      </c>
      <c r="Q34">
        <v>0.11632000000000001</v>
      </c>
      <c r="R34" s="4">
        <v>3.379179215285761E-2</v>
      </c>
      <c r="S34" s="4">
        <v>2.8708778320842154</v>
      </c>
      <c r="T34">
        <v>1</v>
      </c>
      <c r="U34" s="2">
        <v>44705</v>
      </c>
      <c r="V34">
        <v>6.17111567419576</v>
      </c>
      <c r="W34" t="s">
        <v>23</v>
      </c>
    </row>
    <row r="35" spans="2:23" x14ac:dyDescent="0.25">
      <c r="B35" s="1" t="s">
        <v>66</v>
      </c>
      <c r="C35" s="2">
        <v>42150</v>
      </c>
      <c r="D35">
        <v>2</v>
      </c>
      <c r="E35" s="3">
        <v>30</v>
      </c>
      <c r="F35">
        <v>1.5</v>
      </c>
      <c r="G35">
        <v>0.5</v>
      </c>
      <c r="H35">
        <v>2660.2968158440499</v>
      </c>
      <c r="I35">
        <v>1.6424668229491199</v>
      </c>
      <c r="J35">
        <v>7332.1511589440597</v>
      </c>
      <c r="K35">
        <v>0.22644407199911401</v>
      </c>
      <c r="L35" s="4">
        <v>456.66192529244302</v>
      </c>
      <c r="M35">
        <v>0.92282115219108596</v>
      </c>
      <c r="N35">
        <v>386.816525181158</v>
      </c>
      <c r="O35">
        <v>5.3704090593261498</v>
      </c>
      <c r="P35">
        <v>67.7</v>
      </c>
      <c r="Q35">
        <v>1.47</v>
      </c>
      <c r="R35" s="4">
        <v>6.2282120948282414E-2</v>
      </c>
      <c r="S35" s="4">
        <v>6.7453755582340174</v>
      </c>
      <c r="T35">
        <v>1</v>
      </c>
      <c r="U35" s="2">
        <v>43607</v>
      </c>
      <c r="V35">
        <v>3.98904859685147</v>
      </c>
      <c r="W35" t="s">
        <v>23</v>
      </c>
    </row>
    <row r="36" spans="2:23" x14ac:dyDescent="0.25">
      <c r="B36" s="1" t="s">
        <v>54</v>
      </c>
      <c r="C36" s="2">
        <v>43333</v>
      </c>
      <c r="D36">
        <v>2</v>
      </c>
      <c r="E36" s="3">
        <v>27</v>
      </c>
      <c r="F36">
        <v>2</v>
      </c>
      <c r="G36">
        <v>0.5</v>
      </c>
      <c r="T36">
        <v>1</v>
      </c>
      <c r="U36" s="2">
        <v>45147</v>
      </c>
      <c r="V36">
        <v>4.9664613278576297</v>
      </c>
      <c r="W36" t="s">
        <v>23</v>
      </c>
    </row>
    <row r="37" spans="2:23" x14ac:dyDescent="0.25">
      <c r="B37" s="1" t="s">
        <v>79</v>
      </c>
      <c r="C37" s="2">
        <v>42625</v>
      </c>
      <c r="D37">
        <v>2</v>
      </c>
      <c r="E37" s="3">
        <v>28</v>
      </c>
      <c r="F37">
        <v>2</v>
      </c>
      <c r="G37">
        <v>0.5</v>
      </c>
      <c r="H37">
        <v>5766.6419983386604</v>
      </c>
      <c r="I37">
        <v>2.5303072608982902</v>
      </c>
      <c r="J37">
        <v>11803.2272953231</v>
      </c>
      <c r="K37">
        <v>0.19325579657549899</v>
      </c>
      <c r="L37">
        <v>1407.10731500779</v>
      </c>
      <c r="M37">
        <v>1.53262904960013</v>
      </c>
      <c r="N37" s="4">
        <v>676.97415037573501</v>
      </c>
      <c r="O37">
        <v>5.4346194235078702</v>
      </c>
      <c r="P37" s="4">
        <v>77.355999999999995</v>
      </c>
      <c r="Q37">
        <v>6.9483000000000003E-2</v>
      </c>
      <c r="R37">
        <v>0.11921377770682608</v>
      </c>
      <c r="S37">
        <v>18.190021653236855</v>
      </c>
      <c r="T37">
        <v>1</v>
      </c>
      <c r="U37" s="2">
        <v>43005</v>
      </c>
      <c r="V37">
        <v>1.0403832991102</v>
      </c>
      <c r="W37" t="s">
        <v>23</v>
      </c>
    </row>
    <row r="38" spans="2:23" x14ac:dyDescent="0.25">
      <c r="B38" s="1" t="s">
        <v>58</v>
      </c>
      <c r="C38" s="2">
        <v>43124</v>
      </c>
      <c r="D38">
        <v>2</v>
      </c>
      <c r="E38" s="3">
        <v>28</v>
      </c>
      <c r="F38">
        <v>2</v>
      </c>
      <c r="G38">
        <v>0.5</v>
      </c>
      <c r="H38">
        <v>3478.8099855422201</v>
      </c>
      <c r="I38">
        <v>3.8700788171687601</v>
      </c>
      <c r="J38">
        <v>9802.9770253254592</v>
      </c>
      <c r="K38">
        <v>0.72251717526819603</v>
      </c>
      <c r="L38" s="4">
        <v>364.91576853810801</v>
      </c>
      <c r="M38">
        <v>1.08079137038513</v>
      </c>
      <c r="N38" s="4">
        <v>893.32426049173705</v>
      </c>
      <c r="O38">
        <v>3.5720305997263502</v>
      </c>
      <c r="P38" s="4">
        <v>138.59</v>
      </c>
      <c r="Q38">
        <v>1.3368</v>
      </c>
      <c r="R38" s="4">
        <v>3.7224994774074031E-2</v>
      </c>
      <c r="S38" s="4">
        <v>2.6330598783325492</v>
      </c>
      <c r="T38">
        <v>1</v>
      </c>
      <c r="U38" s="2">
        <v>44509</v>
      </c>
      <c r="V38">
        <v>3.7919233401779602</v>
      </c>
      <c r="W38" t="s">
        <v>23</v>
      </c>
    </row>
    <row r="39" spans="2:23" x14ac:dyDescent="0.25">
      <c r="B39" s="1" t="s">
        <v>41</v>
      </c>
      <c r="C39" s="2">
        <v>43293</v>
      </c>
      <c r="D39">
        <v>2</v>
      </c>
      <c r="E39" s="3">
        <v>28</v>
      </c>
      <c r="F39">
        <v>2</v>
      </c>
      <c r="G39">
        <v>0.5</v>
      </c>
      <c r="H39">
        <v>2569.1341445800699</v>
      </c>
      <c r="I39">
        <v>0.87379046694837703</v>
      </c>
      <c r="J39">
        <v>5980.8301797572103</v>
      </c>
      <c r="K39">
        <v>1.2725746975235399</v>
      </c>
      <c r="L39" s="4">
        <v>267.63010611498402</v>
      </c>
      <c r="M39">
        <v>4.7644963851085302</v>
      </c>
      <c r="N39" s="4">
        <v>1146.8742141191599</v>
      </c>
      <c r="O39">
        <v>0.43094542314501499</v>
      </c>
      <c r="P39" s="4">
        <v>160.87</v>
      </c>
      <c r="Q39">
        <v>0.62899000000000005</v>
      </c>
      <c r="R39" s="4">
        <v>4.4747986160986158E-2</v>
      </c>
      <c r="S39" s="4">
        <v>1.6636421092496054</v>
      </c>
      <c r="T39">
        <v>1</v>
      </c>
      <c r="U39" s="2">
        <v>43705</v>
      </c>
      <c r="V39">
        <v>1.1279945242984299</v>
      </c>
      <c r="W39" t="s">
        <v>23</v>
      </c>
    </row>
    <row r="40" spans="2:23" x14ac:dyDescent="0.25">
      <c r="B40" s="1" t="s">
        <v>29</v>
      </c>
      <c r="C40" s="2">
        <v>43108</v>
      </c>
      <c r="D40">
        <v>2</v>
      </c>
      <c r="E40" s="3">
        <v>29</v>
      </c>
      <c r="F40">
        <v>2</v>
      </c>
      <c r="G40">
        <v>0.5</v>
      </c>
      <c r="H40">
        <v>2317.0393015790801</v>
      </c>
      <c r="I40">
        <v>2.3724815832932702</v>
      </c>
      <c r="J40">
        <v>7246.9748133313997</v>
      </c>
      <c r="K40">
        <v>1.2534978781005299</v>
      </c>
      <c r="L40" s="4">
        <v>537.42856749790803</v>
      </c>
      <c r="M40">
        <v>0.48129774824604599</v>
      </c>
      <c r="N40">
        <v>253.11253409895301</v>
      </c>
      <c r="O40">
        <v>0.42568163718258401</v>
      </c>
      <c r="P40">
        <v>48.582999999999998</v>
      </c>
      <c r="Q40">
        <v>4.0754000000000001</v>
      </c>
      <c r="R40" s="4">
        <v>7.4159022397768573E-2</v>
      </c>
      <c r="S40">
        <v>11.062070425826072</v>
      </c>
      <c r="T40">
        <v>1</v>
      </c>
      <c r="U40" s="2">
        <v>43494</v>
      </c>
      <c r="V40">
        <v>1.05681040383299</v>
      </c>
      <c r="W40" t="s">
        <v>23</v>
      </c>
    </row>
    <row r="41" spans="2:23" x14ac:dyDescent="0.25">
      <c r="B41" s="1" t="s">
        <v>31</v>
      </c>
      <c r="C41" s="2">
        <v>42970</v>
      </c>
      <c r="D41">
        <v>2</v>
      </c>
      <c r="E41" s="3" t="s">
        <v>32</v>
      </c>
      <c r="F41">
        <v>2</v>
      </c>
      <c r="G41">
        <v>0.5</v>
      </c>
      <c r="T41">
        <v>1</v>
      </c>
      <c r="U41" s="2">
        <v>43325</v>
      </c>
      <c r="V41">
        <v>0.97193702943189597</v>
      </c>
      <c r="W41" t="s">
        <v>23</v>
      </c>
    </row>
    <row r="42" spans="2:23" x14ac:dyDescent="0.25">
      <c r="B42" s="1" t="s">
        <v>44</v>
      </c>
      <c r="C42" s="2">
        <v>43181</v>
      </c>
      <c r="D42">
        <v>2</v>
      </c>
      <c r="E42" s="3">
        <v>24</v>
      </c>
      <c r="F42">
        <v>2.5</v>
      </c>
      <c r="G42">
        <v>0.5</v>
      </c>
      <c r="H42">
        <v>4407.2313394881103</v>
      </c>
      <c r="I42">
        <v>0.28914671262161401</v>
      </c>
      <c r="J42">
        <v>10160.155449350001</v>
      </c>
      <c r="K42">
        <v>5.7539447867598801</v>
      </c>
      <c r="L42" s="4">
        <v>596.24616048395399</v>
      </c>
      <c r="M42">
        <v>3.5768179328266401</v>
      </c>
      <c r="N42" s="4">
        <v>520.41767738107797</v>
      </c>
      <c r="O42">
        <v>1.55487588115284</v>
      </c>
      <c r="P42" s="4">
        <v>82.680999999999997</v>
      </c>
      <c r="Q42">
        <v>1.8242</v>
      </c>
      <c r="R42" s="4">
        <v>5.8684747832485083E-2</v>
      </c>
      <c r="S42" s="4">
        <v>7.2114048026022184</v>
      </c>
      <c r="T42">
        <v>1</v>
      </c>
      <c r="U42" s="2">
        <v>43530</v>
      </c>
      <c r="V42">
        <v>0.95550992470910301</v>
      </c>
      <c r="W42" t="s">
        <v>23</v>
      </c>
    </row>
    <row r="43" spans="2:23" x14ac:dyDescent="0.25">
      <c r="B43" s="1" t="s">
        <v>36</v>
      </c>
      <c r="C43" s="2">
        <v>43081</v>
      </c>
      <c r="D43">
        <v>2</v>
      </c>
      <c r="E43" s="3">
        <v>24</v>
      </c>
      <c r="F43">
        <v>2.5</v>
      </c>
      <c r="G43">
        <v>0.5</v>
      </c>
      <c r="H43">
        <v>6750.0900146206404</v>
      </c>
      <c r="I43">
        <v>3.8844576830205999</v>
      </c>
      <c r="J43">
        <v>14267.0579242249</v>
      </c>
      <c r="K43">
        <v>2.4766795011567099E-2</v>
      </c>
      <c r="L43" s="4">
        <v>619.13827651999202</v>
      </c>
      <c r="M43">
        <v>1.84610583755429</v>
      </c>
      <c r="N43" s="4">
        <v>2067.5020049933</v>
      </c>
      <c r="O43">
        <v>5.4568299953817396</v>
      </c>
      <c r="P43" s="4">
        <v>320.62</v>
      </c>
      <c r="Q43">
        <v>9.1583000000000006</v>
      </c>
      <c r="R43" s="4">
        <v>4.3396352619324528E-2</v>
      </c>
      <c r="S43" s="4">
        <v>1.9310656743808621</v>
      </c>
      <c r="T43">
        <v>1</v>
      </c>
      <c r="U43" s="2">
        <v>43451</v>
      </c>
      <c r="V43">
        <v>1.01300479123888</v>
      </c>
      <c r="W43" t="s">
        <v>23</v>
      </c>
    </row>
    <row r="44" spans="2:23" x14ac:dyDescent="0.25">
      <c r="B44" s="1" t="s">
        <v>60</v>
      </c>
      <c r="C44" s="2">
        <v>42597</v>
      </c>
      <c r="D44">
        <v>2</v>
      </c>
      <c r="E44" s="3">
        <v>26</v>
      </c>
      <c r="F44">
        <v>2.5</v>
      </c>
      <c r="G44">
        <v>0.5</v>
      </c>
      <c r="H44">
        <v>2415.5809655151602</v>
      </c>
      <c r="I44">
        <v>1.55396725423117</v>
      </c>
      <c r="J44">
        <v>6766.3854643479899</v>
      </c>
      <c r="K44">
        <v>1.0794879036263101</v>
      </c>
      <c r="L44" s="4">
        <v>328.96197762695402</v>
      </c>
      <c r="M44">
        <v>2.7796006464923702</v>
      </c>
      <c r="N44" s="4">
        <v>567.43342376767998</v>
      </c>
      <c r="O44">
        <v>11.0683205984481</v>
      </c>
      <c r="P44">
        <v>59.38</v>
      </c>
      <c r="Q44">
        <v>0.15759000000000001</v>
      </c>
      <c r="R44" s="4">
        <v>4.8617090965368592E-2</v>
      </c>
      <c r="S44" s="4">
        <v>5.5399457330238127</v>
      </c>
      <c r="T44">
        <v>1</v>
      </c>
      <c r="U44" s="2">
        <v>43683</v>
      </c>
      <c r="V44">
        <v>2.9733059548254599</v>
      </c>
      <c r="W44" t="s">
        <v>23</v>
      </c>
    </row>
    <row r="45" spans="2:23" x14ac:dyDescent="0.25">
      <c r="B45" s="1" t="s">
        <v>45</v>
      </c>
      <c r="C45" s="2">
        <v>42460</v>
      </c>
      <c r="D45">
        <v>2</v>
      </c>
      <c r="E45" s="3">
        <v>27</v>
      </c>
      <c r="F45">
        <v>2.5</v>
      </c>
      <c r="G45">
        <v>0.5</v>
      </c>
      <c r="H45">
        <v>3847.4906010315399</v>
      </c>
      <c r="I45">
        <v>0.21224301225466299</v>
      </c>
      <c r="J45">
        <v>11380.331840999501</v>
      </c>
      <c r="K45">
        <v>0.89047682086477398</v>
      </c>
      <c r="L45">
        <v>929.82612501982101</v>
      </c>
      <c r="M45">
        <v>1.56653489273063</v>
      </c>
      <c r="N45" s="4">
        <v>642.90066989992704</v>
      </c>
      <c r="O45">
        <v>2.23602122607367</v>
      </c>
      <c r="P45">
        <v>59.084000000000003</v>
      </c>
      <c r="Q45">
        <v>1.4336</v>
      </c>
      <c r="R45">
        <v>8.1704658353631734E-2</v>
      </c>
      <c r="S45">
        <v>15.737359099245497</v>
      </c>
      <c r="T45">
        <v>1</v>
      </c>
      <c r="U45" s="2">
        <v>43955</v>
      </c>
      <c r="V45">
        <v>4.0930869267624903</v>
      </c>
      <c r="W45" t="s">
        <v>23</v>
      </c>
    </row>
    <row r="46" spans="2:23" x14ac:dyDescent="0.25">
      <c r="B46" s="1" t="s">
        <v>70</v>
      </c>
      <c r="C46" s="2">
        <v>42298</v>
      </c>
      <c r="D46">
        <v>2</v>
      </c>
      <c r="E46" s="3">
        <v>27</v>
      </c>
      <c r="F46">
        <v>2.5</v>
      </c>
      <c r="G46">
        <v>0.5</v>
      </c>
      <c r="H46">
        <v>2007.80090674543</v>
      </c>
      <c r="I46">
        <v>9.6383696753252295</v>
      </c>
      <c r="J46">
        <v>7071.5004401239403</v>
      </c>
      <c r="K46">
        <v>6.7134480919950796</v>
      </c>
      <c r="L46" s="4">
        <v>286.74646782648801</v>
      </c>
      <c r="M46">
        <v>1.0669013036114301</v>
      </c>
      <c r="N46" s="4">
        <v>638.49441621593803</v>
      </c>
      <c r="O46">
        <v>2.6544546515449401</v>
      </c>
      <c r="P46">
        <v>64.3</v>
      </c>
      <c r="Q46">
        <v>0.88300000000000001</v>
      </c>
      <c r="R46" s="4">
        <v>4.0549593435571123E-2</v>
      </c>
      <c r="S46" s="4">
        <v>4.4595096084990358</v>
      </c>
      <c r="T46">
        <v>1</v>
      </c>
      <c r="U46" s="2">
        <v>43724</v>
      </c>
      <c r="V46">
        <v>3.9041752224503798</v>
      </c>
      <c r="W46" t="s">
        <v>23</v>
      </c>
    </row>
    <row r="47" spans="2:23" x14ac:dyDescent="0.25">
      <c r="B47" s="1" t="s">
        <v>47</v>
      </c>
      <c r="C47" s="2">
        <v>42676</v>
      </c>
      <c r="D47">
        <v>2</v>
      </c>
      <c r="E47" s="3">
        <v>27</v>
      </c>
      <c r="F47">
        <v>2.5</v>
      </c>
      <c r="G47">
        <v>0.5</v>
      </c>
      <c r="H47">
        <v>2157.51217857453</v>
      </c>
      <c r="I47">
        <v>1.8464798855046101</v>
      </c>
      <c r="J47">
        <v>6241.2699821039696</v>
      </c>
      <c r="K47">
        <v>1.82651949110529</v>
      </c>
      <c r="L47" s="4">
        <v>277.90411943582501</v>
      </c>
      <c r="M47">
        <v>2.1204666687486702</v>
      </c>
      <c r="N47" s="4">
        <v>577.05929794027804</v>
      </c>
      <c r="O47">
        <v>7.5252549837698995E-2</v>
      </c>
      <c r="P47" s="4">
        <v>74.001999999999995</v>
      </c>
      <c r="Q47">
        <v>0</v>
      </c>
      <c r="R47" s="4">
        <v>4.4526854347381052E-2</v>
      </c>
      <c r="S47" s="4">
        <v>3.7553595772523045</v>
      </c>
      <c r="T47">
        <v>1</v>
      </c>
      <c r="U47" s="2">
        <v>43035</v>
      </c>
      <c r="V47">
        <v>0.98288843258042402</v>
      </c>
      <c r="W47" t="s">
        <v>23</v>
      </c>
    </row>
    <row r="48" spans="2:23" x14ac:dyDescent="0.25">
      <c r="B48" s="1" t="s">
        <v>38</v>
      </c>
      <c r="C48" s="2">
        <v>41946</v>
      </c>
      <c r="D48">
        <v>2</v>
      </c>
      <c r="E48" s="3">
        <v>27</v>
      </c>
      <c r="F48">
        <v>2.5</v>
      </c>
      <c r="G48">
        <v>0.5</v>
      </c>
      <c r="T48">
        <v>1</v>
      </c>
      <c r="U48" s="2">
        <v>42387</v>
      </c>
      <c r="V48">
        <v>1.2073921971252599</v>
      </c>
      <c r="W48" t="s">
        <v>23</v>
      </c>
    </row>
    <row r="49" spans="2:26" x14ac:dyDescent="0.25">
      <c r="B49" s="1" t="s">
        <v>62</v>
      </c>
      <c r="C49" s="2">
        <v>42536</v>
      </c>
      <c r="D49">
        <v>2</v>
      </c>
      <c r="E49" s="3">
        <v>27</v>
      </c>
      <c r="F49">
        <v>2.5</v>
      </c>
      <c r="G49">
        <v>0.5</v>
      </c>
      <c r="T49">
        <v>1</v>
      </c>
      <c r="U49" s="2">
        <v>43276</v>
      </c>
      <c r="V49">
        <v>2.02600958247776</v>
      </c>
      <c r="W49" t="s">
        <v>23</v>
      </c>
    </row>
    <row r="50" spans="2:26" x14ac:dyDescent="0.25">
      <c r="B50" s="1" t="s">
        <v>81</v>
      </c>
      <c r="C50" s="2">
        <v>43563</v>
      </c>
      <c r="E50" s="3">
        <v>27</v>
      </c>
      <c r="F50">
        <v>2.5</v>
      </c>
      <c r="G50">
        <v>0.5</v>
      </c>
      <c r="T50" s="3">
        <v>1</v>
      </c>
      <c r="U50" s="2">
        <v>44272</v>
      </c>
      <c r="V50" s="1" t="s">
        <v>93</v>
      </c>
      <c r="W50" t="s">
        <v>97</v>
      </c>
      <c r="X50">
        <v>1</v>
      </c>
      <c r="Y50" s="2">
        <v>43563</v>
      </c>
      <c r="Z50">
        <v>1.0266940451745401</v>
      </c>
    </row>
    <row r="51" spans="2:26" x14ac:dyDescent="0.25">
      <c r="B51" s="1" t="s">
        <v>56</v>
      </c>
      <c r="C51" s="2">
        <v>41948</v>
      </c>
      <c r="D51">
        <v>2</v>
      </c>
      <c r="E51" s="3">
        <v>28</v>
      </c>
      <c r="F51">
        <v>2.5</v>
      </c>
      <c r="G51">
        <v>0.5</v>
      </c>
      <c r="H51">
        <v>4195.7</v>
      </c>
      <c r="I51">
        <v>0.21</v>
      </c>
      <c r="J51">
        <v>10839.2825147444</v>
      </c>
      <c r="K51">
        <v>0.75559427083867103</v>
      </c>
      <c r="L51">
        <v>1309.2900734203399</v>
      </c>
      <c r="M51">
        <v>2.27170124160659</v>
      </c>
      <c r="N51">
        <v>424.79532532052798</v>
      </c>
      <c r="O51">
        <v>4.0862539917447496</v>
      </c>
      <c r="P51">
        <v>54.9</v>
      </c>
      <c r="Q51">
        <v>1.69</v>
      </c>
      <c r="R51">
        <v>0.12079121211568625</v>
      </c>
      <c r="S51">
        <v>23.848635217128233</v>
      </c>
      <c r="T51">
        <v>1</v>
      </c>
      <c r="U51" s="2">
        <v>44593</v>
      </c>
      <c r="V51">
        <v>7.2416153319644101</v>
      </c>
      <c r="W51" t="s">
        <v>23</v>
      </c>
    </row>
    <row r="52" spans="2:26" x14ac:dyDescent="0.25">
      <c r="B52" s="1" t="s">
        <v>34</v>
      </c>
      <c r="C52" s="2">
        <v>43003</v>
      </c>
      <c r="D52">
        <v>2</v>
      </c>
      <c r="E52" s="3">
        <v>28</v>
      </c>
      <c r="F52">
        <v>2.5</v>
      </c>
      <c r="G52">
        <v>0.5</v>
      </c>
      <c r="T52">
        <v>1</v>
      </c>
      <c r="U52" s="2">
        <v>43740</v>
      </c>
      <c r="V52">
        <v>2.0177960301163602</v>
      </c>
      <c r="W52" t="s">
        <v>23</v>
      </c>
    </row>
    <row r="53" spans="2:26" x14ac:dyDescent="0.25">
      <c r="B53" s="1" t="s">
        <v>39</v>
      </c>
      <c r="C53" s="2">
        <v>42821</v>
      </c>
      <c r="D53">
        <v>2</v>
      </c>
      <c r="E53" s="3">
        <v>28</v>
      </c>
      <c r="F53">
        <v>2.5</v>
      </c>
      <c r="G53">
        <v>0.5</v>
      </c>
      <c r="T53">
        <v>1</v>
      </c>
      <c r="U53" s="2">
        <v>43528</v>
      </c>
      <c r="V53">
        <v>1.9356605065024</v>
      </c>
      <c r="W53" t="s">
        <v>23</v>
      </c>
    </row>
    <row r="54" spans="2:26" x14ac:dyDescent="0.25">
      <c r="B54" s="1" t="s">
        <v>83</v>
      </c>
      <c r="C54" s="2">
        <v>42450</v>
      </c>
      <c r="E54" s="3">
        <v>28</v>
      </c>
      <c r="F54">
        <v>2.5</v>
      </c>
      <c r="G54">
        <v>0.5</v>
      </c>
      <c r="T54" s="3">
        <v>1</v>
      </c>
      <c r="U54" s="2">
        <v>44756</v>
      </c>
      <c r="V54">
        <v>7.31006160164271</v>
      </c>
      <c r="W54" t="s">
        <v>97</v>
      </c>
      <c r="X54">
        <v>1</v>
      </c>
      <c r="Y54" s="2">
        <v>42450</v>
      </c>
      <c r="Z54">
        <v>0.99657768651608503</v>
      </c>
    </row>
    <row r="55" spans="2:26" x14ac:dyDescent="0.25">
      <c r="B55" s="1" t="s">
        <v>22</v>
      </c>
      <c r="C55" s="2">
        <v>42305</v>
      </c>
      <c r="D55">
        <v>2</v>
      </c>
      <c r="E55" s="3">
        <v>29</v>
      </c>
      <c r="F55">
        <v>2.5</v>
      </c>
      <c r="G55">
        <v>0.5</v>
      </c>
      <c r="H55">
        <v>4142.7605524471901</v>
      </c>
      <c r="I55">
        <v>2.28453565417161E-2</v>
      </c>
      <c r="J55">
        <v>11108.192125198</v>
      </c>
      <c r="K55">
        <v>7.2303439088985204</v>
      </c>
      <c r="L55" s="4">
        <v>586.087397641807</v>
      </c>
      <c r="M55">
        <v>0.51883448596604798</v>
      </c>
      <c r="N55" s="4">
        <v>1202.6955394193201</v>
      </c>
      <c r="O55">
        <v>0.73626016024464003</v>
      </c>
      <c r="P55" s="4">
        <v>185</v>
      </c>
      <c r="Q55">
        <v>0.432</v>
      </c>
      <c r="R55" s="4">
        <v>5.2761726754105828E-2</v>
      </c>
      <c r="S55" s="4">
        <v>3.1680399872530107</v>
      </c>
      <c r="T55">
        <v>1</v>
      </c>
      <c r="U55" s="2">
        <v>43045</v>
      </c>
      <c r="V55">
        <v>2.02600958247776</v>
      </c>
      <c r="W55" t="s">
        <v>23</v>
      </c>
    </row>
    <row r="56" spans="2:26" x14ac:dyDescent="0.25">
      <c r="B56" s="1" t="s">
        <v>48</v>
      </c>
      <c r="C56" s="2">
        <v>42913</v>
      </c>
      <c r="D56">
        <v>2</v>
      </c>
      <c r="E56" s="3">
        <v>29</v>
      </c>
      <c r="F56">
        <v>2.5</v>
      </c>
      <c r="G56">
        <v>0.5</v>
      </c>
      <c r="T56">
        <v>1</v>
      </c>
      <c r="U56" s="2">
        <v>43635</v>
      </c>
      <c r="V56">
        <v>1.9767282683093801</v>
      </c>
      <c r="W56" t="s">
        <v>23</v>
      </c>
    </row>
    <row r="57" spans="2:26" x14ac:dyDescent="0.25">
      <c r="B57" s="1" t="s">
        <v>40</v>
      </c>
      <c r="C57" s="2">
        <v>41932</v>
      </c>
      <c r="D57">
        <v>2</v>
      </c>
      <c r="E57" s="3">
        <v>30</v>
      </c>
      <c r="F57">
        <v>2.5</v>
      </c>
      <c r="G57">
        <v>0.5</v>
      </c>
      <c r="H57">
        <v>4535.1378848577897</v>
      </c>
      <c r="I57">
        <v>0.18274192868263101</v>
      </c>
      <c r="J57">
        <v>9692.1946221351009</v>
      </c>
      <c r="K57">
        <v>1.43943759481166</v>
      </c>
      <c r="L57">
        <v>1228.4854853951399</v>
      </c>
      <c r="M57">
        <v>1.10221436974803</v>
      </c>
      <c r="N57">
        <v>502.66040765733601</v>
      </c>
      <c r="O57">
        <v>0.961094538558532</v>
      </c>
      <c r="P57">
        <v>65</v>
      </c>
      <c r="Q57">
        <v>0.47399999999999998</v>
      </c>
      <c r="R57">
        <v>0.12674998112290442</v>
      </c>
      <c r="S57">
        <v>18.899776698386766</v>
      </c>
      <c r="T57">
        <v>1</v>
      </c>
      <c r="U57" s="2">
        <v>42650</v>
      </c>
      <c r="V57">
        <v>1.96577686516085</v>
      </c>
      <c r="W57" t="s">
        <v>23</v>
      </c>
    </row>
    <row r="58" spans="2:26" x14ac:dyDescent="0.25">
      <c r="B58" s="1" t="s">
        <v>65</v>
      </c>
      <c r="C58" s="2">
        <v>42067</v>
      </c>
      <c r="D58">
        <v>2</v>
      </c>
      <c r="E58" s="3">
        <v>30</v>
      </c>
      <c r="F58">
        <v>2.5</v>
      </c>
      <c r="G58">
        <v>0.5</v>
      </c>
      <c r="T58">
        <v>1</v>
      </c>
      <c r="U58" s="2">
        <v>42817</v>
      </c>
      <c r="V58">
        <v>2.0533880903490802</v>
      </c>
      <c r="W58" t="s">
        <v>23</v>
      </c>
    </row>
    <row r="59" spans="2:26" x14ac:dyDescent="0.25">
      <c r="B59" s="1" t="s">
        <v>75</v>
      </c>
      <c r="C59" s="2">
        <v>43109</v>
      </c>
      <c r="D59">
        <v>2</v>
      </c>
      <c r="E59" s="3">
        <v>18</v>
      </c>
      <c r="F59">
        <v>3</v>
      </c>
      <c r="G59">
        <v>0.5</v>
      </c>
      <c r="T59">
        <v>1</v>
      </c>
      <c r="U59" s="2">
        <v>44039</v>
      </c>
      <c r="V59">
        <v>2.5462012320328502</v>
      </c>
      <c r="W59" t="s">
        <v>23</v>
      </c>
    </row>
    <row r="60" spans="2:26" x14ac:dyDescent="0.25">
      <c r="B60" s="1" t="s">
        <v>67</v>
      </c>
      <c r="C60" s="2">
        <v>41806</v>
      </c>
      <c r="D60">
        <v>2</v>
      </c>
      <c r="E60" s="3">
        <v>27</v>
      </c>
      <c r="F60">
        <v>3</v>
      </c>
      <c r="G60">
        <v>0.5</v>
      </c>
      <c r="T60">
        <v>1</v>
      </c>
      <c r="U60" s="2">
        <v>42177</v>
      </c>
      <c r="V60">
        <v>1.0157426420260101</v>
      </c>
      <c r="W60" t="s">
        <v>23</v>
      </c>
    </row>
    <row r="61" spans="2:26" x14ac:dyDescent="0.25">
      <c r="B61" s="1" t="s">
        <v>84</v>
      </c>
      <c r="C61" s="2">
        <v>43682</v>
      </c>
      <c r="E61" s="3">
        <v>27</v>
      </c>
      <c r="F61">
        <v>3</v>
      </c>
      <c r="G61">
        <v>0.5</v>
      </c>
      <c r="T61" s="3">
        <v>1</v>
      </c>
      <c r="U61" s="2">
        <v>44088</v>
      </c>
      <c r="V61" s="1" t="s">
        <v>95</v>
      </c>
      <c r="W61" t="s">
        <v>98</v>
      </c>
      <c r="X61">
        <v>1</v>
      </c>
      <c r="Y61" s="2">
        <v>43682</v>
      </c>
      <c r="Z61">
        <v>2.0506502395619401</v>
      </c>
    </row>
    <row r="62" spans="2:26" x14ac:dyDescent="0.25">
      <c r="B62" s="1" t="s">
        <v>28</v>
      </c>
      <c r="C62" s="2">
        <v>42130</v>
      </c>
      <c r="D62">
        <v>2</v>
      </c>
      <c r="E62" s="3">
        <v>29</v>
      </c>
      <c r="F62">
        <v>3</v>
      </c>
      <c r="G62">
        <v>0.5</v>
      </c>
      <c r="H62">
        <v>1871.98838305446</v>
      </c>
      <c r="I62">
        <v>3.5058528246656699</v>
      </c>
      <c r="J62">
        <v>5731.6275896831403</v>
      </c>
      <c r="K62">
        <v>1.9145085607843899</v>
      </c>
      <c r="L62" s="4">
        <v>284.72150568121401</v>
      </c>
      <c r="M62">
        <v>1.50809171313665</v>
      </c>
      <c r="N62">
        <v>447.01405304591401</v>
      </c>
      <c r="O62">
        <v>3.25807291480813</v>
      </c>
      <c r="P62">
        <v>67.3</v>
      </c>
      <c r="Q62">
        <v>7.4499999999999997E-2</v>
      </c>
      <c r="R62" s="4">
        <v>4.9675506865398802E-2</v>
      </c>
      <c r="S62" s="4">
        <v>4.2306315851591982</v>
      </c>
      <c r="T62">
        <v>1</v>
      </c>
      <c r="U62" s="2">
        <v>43229</v>
      </c>
      <c r="V62">
        <v>3.0088980150581799</v>
      </c>
      <c r="W62" t="s">
        <v>23</v>
      </c>
    </row>
    <row r="63" spans="2:26" x14ac:dyDescent="0.25">
      <c r="B63" s="1" t="s">
        <v>50</v>
      </c>
      <c r="C63" s="2">
        <v>42067</v>
      </c>
      <c r="D63">
        <v>2</v>
      </c>
      <c r="E63" s="3">
        <v>28</v>
      </c>
      <c r="F63">
        <v>3.5</v>
      </c>
      <c r="G63">
        <v>0.5</v>
      </c>
      <c r="T63">
        <v>1</v>
      </c>
      <c r="U63" s="2">
        <v>42803</v>
      </c>
      <c r="V63">
        <v>2.0150581793292299</v>
      </c>
      <c r="W63" t="s">
        <v>23</v>
      </c>
    </row>
    <row r="64" spans="2:26" x14ac:dyDescent="0.25">
      <c r="B64" s="1" t="s">
        <v>90</v>
      </c>
      <c r="C64" s="2">
        <v>44550</v>
      </c>
      <c r="E64" s="3">
        <v>30</v>
      </c>
      <c r="F64">
        <v>3.5</v>
      </c>
      <c r="G64">
        <v>0.5</v>
      </c>
      <c r="J64">
        <v>9654</v>
      </c>
      <c r="L64" s="4">
        <v>562</v>
      </c>
      <c r="N64">
        <v>476</v>
      </c>
      <c r="P64" s="4">
        <v>77.5</v>
      </c>
      <c r="R64" s="4">
        <v>5.821421172570955E-2</v>
      </c>
      <c r="S64" s="4">
        <v>7.2516129032258068</v>
      </c>
      <c r="T64" s="3">
        <v>1</v>
      </c>
      <c r="U64" s="2">
        <v>45294</v>
      </c>
      <c r="V64">
        <v>6.0396988364134199</v>
      </c>
      <c r="W64" t="s">
        <v>100</v>
      </c>
      <c r="X64">
        <v>1</v>
      </c>
      <c r="Y64" s="2">
        <v>44550</v>
      </c>
      <c r="Z64">
        <v>4.0027378507871303</v>
      </c>
    </row>
    <row r="65" spans="2:26" x14ac:dyDescent="0.25">
      <c r="B65" s="1" t="s">
        <v>35</v>
      </c>
      <c r="C65" s="2">
        <v>42845</v>
      </c>
      <c r="D65">
        <v>2</v>
      </c>
      <c r="E65" s="3">
        <v>26</v>
      </c>
      <c r="F65">
        <v>4</v>
      </c>
      <c r="G65">
        <v>0.5</v>
      </c>
      <c r="T65">
        <v>1</v>
      </c>
      <c r="U65" s="2">
        <v>44664</v>
      </c>
      <c r="V65">
        <v>4.9801505817932901</v>
      </c>
      <c r="W65" t="s">
        <v>23</v>
      </c>
    </row>
    <row r="66" spans="2:26" x14ac:dyDescent="0.25">
      <c r="B66" s="1" t="s">
        <v>82</v>
      </c>
      <c r="C66" s="2">
        <v>42969</v>
      </c>
      <c r="E66" s="3">
        <v>26</v>
      </c>
      <c r="F66">
        <v>4.5</v>
      </c>
      <c r="G66">
        <v>1</v>
      </c>
      <c r="T66" s="3">
        <v>1</v>
      </c>
      <c r="U66" s="2">
        <v>43374</v>
      </c>
      <c r="V66" s="1" t="s">
        <v>94</v>
      </c>
      <c r="W66" t="s">
        <v>97</v>
      </c>
      <c r="X66">
        <v>1</v>
      </c>
      <c r="Y66" s="2">
        <v>42969</v>
      </c>
      <c r="Z66">
        <v>1.0376454483230699</v>
      </c>
    </row>
    <row r="67" spans="2:26" x14ac:dyDescent="0.25">
      <c r="B67" s="1" t="s">
        <v>92</v>
      </c>
      <c r="C67" s="2">
        <v>45195</v>
      </c>
      <c r="E67" s="3">
        <v>27</v>
      </c>
      <c r="F67">
        <v>6.5</v>
      </c>
      <c r="G67">
        <v>1</v>
      </c>
      <c r="T67" s="3">
        <v>1</v>
      </c>
      <c r="U67" s="2">
        <v>45195</v>
      </c>
      <c r="V67">
        <v>5.0951403148528396</v>
      </c>
      <c r="W67" t="s">
        <v>101</v>
      </c>
      <c r="X67">
        <v>1</v>
      </c>
      <c r="Y67" s="2">
        <v>45195</v>
      </c>
      <c r="Z67">
        <v>5.0951403148528396</v>
      </c>
    </row>
    <row r="68" spans="2:26" x14ac:dyDescent="0.25">
      <c r="B68" s="1" t="s">
        <v>51</v>
      </c>
      <c r="C68" s="2">
        <v>42088</v>
      </c>
      <c r="D68">
        <v>2</v>
      </c>
      <c r="E68" s="3">
        <v>29</v>
      </c>
      <c r="F68">
        <v>7</v>
      </c>
      <c r="G68">
        <v>1</v>
      </c>
      <c r="T68">
        <v>1</v>
      </c>
      <c r="U68" s="2">
        <v>43186</v>
      </c>
      <c r="V68">
        <v>3.00616016427105</v>
      </c>
      <c r="W68" t="s">
        <v>23</v>
      </c>
    </row>
    <row r="69" spans="2:26" x14ac:dyDescent="0.25">
      <c r="B69" s="1" t="s">
        <v>46</v>
      </c>
      <c r="C69" s="2">
        <v>42513</v>
      </c>
      <c r="D69">
        <v>2</v>
      </c>
      <c r="E69" s="3">
        <v>27</v>
      </c>
      <c r="F69">
        <v>7.5</v>
      </c>
      <c r="G69">
        <v>1</v>
      </c>
      <c r="H69">
        <v>3606.1986006342299</v>
      </c>
      <c r="I69">
        <v>4.2820208827980304</v>
      </c>
      <c r="J69">
        <v>9738.4235346814403</v>
      </c>
      <c r="K69">
        <v>3.8226691053121602</v>
      </c>
      <c r="L69" s="4">
        <v>427.86187761526003</v>
      </c>
      <c r="M69">
        <v>0.55156228605665003</v>
      </c>
      <c r="N69" s="4">
        <v>1103.53080468295</v>
      </c>
      <c r="O69">
        <v>7.3041924654618402</v>
      </c>
      <c r="P69" s="4">
        <v>101.15</v>
      </c>
      <c r="Q69">
        <v>0.23207</v>
      </c>
      <c r="R69" s="4">
        <v>4.3935435349624692E-2</v>
      </c>
      <c r="S69" s="4">
        <v>4.2299740742981706</v>
      </c>
      <c r="T69">
        <v>1</v>
      </c>
      <c r="U69" s="2">
        <v>42836</v>
      </c>
      <c r="V69">
        <v>0.88432580424366902</v>
      </c>
      <c r="W69" t="s">
        <v>23</v>
      </c>
    </row>
    <row r="70" spans="2:26" x14ac:dyDescent="0.25">
      <c r="B70" s="1" t="s">
        <v>43</v>
      </c>
      <c r="C70" s="2">
        <v>43026</v>
      </c>
      <c r="D70">
        <v>2</v>
      </c>
      <c r="E70" s="3">
        <v>29</v>
      </c>
      <c r="F70" t="s">
        <v>32</v>
      </c>
      <c r="G70">
        <v>0.5</v>
      </c>
      <c r="H70">
        <v>4149.4867651781597</v>
      </c>
      <c r="I70">
        <v>2.1664447317407398</v>
      </c>
      <c r="J70">
        <v>8078.9204541824602</v>
      </c>
      <c r="K70">
        <v>1.2177152502423101</v>
      </c>
      <c r="L70" s="4">
        <v>309.43420374995497</v>
      </c>
      <c r="M70">
        <v>5.1467122015188597E-2</v>
      </c>
      <c r="N70">
        <v>400.833324860598</v>
      </c>
      <c r="O70">
        <v>1.51191793297564</v>
      </c>
      <c r="P70">
        <v>55.677</v>
      </c>
      <c r="Q70">
        <v>1.7395</v>
      </c>
      <c r="R70" s="4">
        <v>3.8301429690369183E-2</v>
      </c>
      <c r="S70" s="4">
        <v>5.5576666082934603</v>
      </c>
      <c r="T70">
        <v>1</v>
      </c>
      <c r="U70" s="2">
        <v>43416</v>
      </c>
      <c r="V70">
        <v>1.06776180698152</v>
      </c>
      <c r="W70" t="s">
        <v>23</v>
      </c>
    </row>
    <row r="71" spans="2:26" x14ac:dyDescent="0.25">
      <c r="B71" s="1" t="s">
        <v>61</v>
      </c>
      <c r="C71" s="2">
        <v>42012</v>
      </c>
      <c r="D71">
        <v>2</v>
      </c>
      <c r="E71" s="3">
        <v>30</v>
      </c>
      <c r="F71" t="s">
        <v>32</v>
      </c>
      <c r="G71" t="s">
        <v>32</v>
      </c>
      <c r="H71">
        <v>2603.2231034645201</v>
      </c>
      <c r="I71">
        <v>1.4114820612733101</v>
      </c>
      <c r="J71">
        <v>6323.7285542338896</v>
      </c>
      <c r="K71">
        <v>1.79131677313051</v>
      </c>
      <c r="L71" s="4">
        <v>272.81961331137001</v>
      </c>
      <c r="M71">
        <v>2.0975741008783602</v>
      </c>
      <c r="N71">
        <v>487.13098948920998</v>
      </c>
      <c r="O71">
        <v>4.1899599881057599</v>
      </c>
      <c r="P71" s="4">
        <v>75.400000000000006</v>
      </c>
      <c r="Q71">
        <v>1.43</v>
      </c>
      <c r="R71" s="4">
        <v>4.3142208108966136E-2</v>
      </c>
      <c r="S71" s="4">
        <v>3.6182972587714852</v>
      </c>
      <c r="T71">
        <v>1</v>
      </c>
      <c r="U71" s="2">
        <v>43784</v>
      </c>
      <c r="V71">
        <v>4.8514715947980802</v>
      </c>
      <c r="W71" t="s">
        <v>23</v>
      </c>
    </row>
  </sheetData>
  <autoFilter ref="B1:Z71" xr:uid="{EBA707DE-B298-4B6B-A115-503A32E413C7}">
    <sortState xmlns:xlrd2="http://schemas.microsoft.com/office/spreadsheetml/2017/richdata2" ref="B2:Z71">
      <sortCondition ref="F1:F71"/>
    </sortState>
  </autoFilter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00892-35D9-4FF0-96CF-51B3940D0998}">
  <sheetPr codeName="Tabelle4"/>
  <dimension ref="A1:CN115"/>
  <sheetViews>
    <sheetView tabSelected="1" topLeftCell="AU1" zoomScaleNormal="100" workbookViewId="0">
      <selection activeCell="AX13" sqref="AX13"/>
    </sheetView>
  </sheetViews>
  <sheetFormatPr baseColWidth="10" defaultRowHeight="15" x14ac:dyDescent="0.25"/>
  <cols>
    <col min="1" max="1" width="39.42578125" customWidth="1"/>
    <col min="28" max="28" width="35.7109375" customWidth="1"/>
    <col min="51" max="51" width="26.7109375" customWidth="1"/>
    <col min="53" max="76" width="0" hidden="1" customWidth="1"/>
  </cols>
  <sheetData>
    <row r="1" spans="1:92" x14ac:dyDescent="0.25">
      <c r="A1" t="s">
        <v>127</v>
      </c>
      <c r="B1" s="1" t="s">
        <v>0</v>
      </c>
      <c r="C1" t="s">
        <v>1</v>
      </c>
      <c r="D1" t="s">
        <v>2</v>
      </c>
      <c r="E1" s="3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s="1" t="s">
        <v>102</v>
      </c>
      <c r="Y1" s="1" t="s">
        <v>103</v>
      </c>
      <c r="Z1" s="1" t="s">
        <v>104</v>
      </c>
      <c r="AB1" s="1" t="s">
        <v>128</v>
      </c>
      <c r="AC1" s="6" t="s">
        <v>0</v>
      </c>
      <c r="AD1" s="10" t="s">
        <v>1</v>
      </c>
      <c r="AE1" s="11" t="s">
        <v>4</v>
      </c>
      <c r="AF1" s="11" t="s">
        <v>5</v>
      </c>
      <c r="AG1" s="11" t="s">
        <v>3</v>
      </c>
      <c r="AH1" s="12" t="s">
        <v>107</v>
      </c>
      <c r="AI1" s="12" t="s">
        <v>108</v>
      </c>
      <c r="AJ1" s="12" t="s">
        <v>109</v>
      </c>
      <c r="AK1" s="12" t="s">
        <v>110</v>
      </c>
      <c r="AL1" s="12" t="s">
        <v>111</v>
      </c>
      <c r="AM1" s="12" t="s">
        <v>112</v>
      </c>
      <c r="AN1" s="12" t="s">
        <v>113</v>
      </c>
      <c r="AO1" s="12" t="s">
        <v>114</v>
      </c>
      <c r="AP1" s="12" t="s">
        <v>115</v>
      </c>
      <c r="AQ1" s="12" t="s">
        <v>116</v>
      </c>
      <c r="AR1" s="12" t="s">
        <v>117</v>
      </c>
      <c r="AS1" s="12" t="s">
        <v>118</v>
      </c>
      <c r="AT1" t="s">
        <v>19</v>
      </c>
      <c r="AU1" t="s">
        <v>20</v>
      </c>
      <c r="AV1" s="1" t="s">
        <v>103</v>
      </c>
      <c r="AW1" s="1" t="s">
        <v>104</v>
      </c>
      <c r="AX1" t="s">
        <v>21</v>
      </c>
      <c r="AY1" t="s">
        <v>150</v>
      </c>
      <c r="AZ1" s="1" t="s">
        <v>0</v>
      </c>
      <c r="BA1" t="s">
        <v>148</v>
      </c>
      <c r="BB1" t="s">
        <v>2</v>
      </c>
      <c r="BC1" s="3" t="s">
        <v>3</v>
      </c>
      <c r="BD1" t="s">
        <v>4</v>
      </c>
      <c r="BE1" t="s">
        <v>5</v>
      </c>
      <c r="BF1" t="s">
        <v>6</v>
      </c>
      <c r="BG1" t="s">
        <v>7</v>
      </c>
      <c r="BH1" t="s">
        <v>8</v>
      </c>
      <c r="BI1" t="s">
        <v>9</v>
      </c>
      <c r="BJ1" t="s">
        <v>10</v>
      </c>
      <c r="BK1" t="s">
        <v>11</v>
      </c>
      <c r="BL1" t="s">
        <v>12</v>
      </c>
      <c r="BM1" t="s">
        <v>13</v>
      </c>
      <c r="BN1" t="s">
        <v>14</v>
      </c>
      <c r="BO1" t="s">
        <v>15</v>
      </c>
      <c r="BP1" t="s">
        <v>16</v>
      </c>
      <c r="BQ1" t="s">
        <v>17</v>
      </c>
      <c r="BR1" t="s">
        <v>18</v>
      </c>
      <c r="BS1" t="s">
        <v>19</v>
      </c>
      <c r="BT1" t="s">
        <v>20</v>
      </c>
      <c r="BU1" t="s">
        <v>21</v>
      </c>
      <c r="BV1" s="1" t="s">
        <v>102</v>
      </c>
      <c r="BW1" s="1" t="s">
        <v>103</v>
      </c>
      <c r="BX1" s="1" t="s">
        <v>104</v>
      </c>
      <c r="BY1" s="8" t="s">
        <v>149</v>
      </c>
      <c r="BZ1" s="6" t="s">
        <v>4</v>
      </c>
      <c r="CA1" s="6" t="s">
        <v>5</v>
      </c>
      <c r="CB1" s="6" t="s">
        <v>3</v>
      </c>
      <c r="CC1" s="5" t="s">
        <v>107</v>
      </c>
      <c r="CD1" s="5" t="s">
        <v>108</v>
      </c>
      <c r="CE1" s="5" t="s">
        <v>109</v>
      </c>
      <c r="CF1" s="5" t="s">
        <v>110</v>
      </c>
      <c r="CG1" s="5" t="s">
        <v>111</v>
      </c>
      <c r="CH1" s="5" t="s">
        <v>112</v>
      </c>
      <c r="CI1" s="5" t="s">
        <v>113</v>
      </c>
      <c r="CJ1" s="5" t="s">
        <v>114</v>
      </c>
      <c r="CK1" s="5" t="s">
        <v>115</v>
      </c>
      <c r="CL1" s="5" t="s">
        <v>116</v>
      </c>
      <c r="CM1" s="5" t="s">
        <v>117</v>
      </c>
      <c r="CN1" s="5" t="s">
        <v>118</v>
      </c>
    </row>
    <row r="2" spans="1:92" x14ac:dyDescent="0.25">
      <c r="B2" s="1">
        <v>779893593</v>
      </c>
      <c r="C2" s="2">
        <v>42107</v>
      </c>
      <c r="D2">
        <v>2</v>
      </c>
      <c r="E2" s="3">
        <v>25</v>
      </c>
      <c r="F2">
        <v>1</v>
      </c>
      <c r="G2">
        <v>0.5</v>
      </c>
      <c r="H2">
        <v>2196.2098392070302</v>
      </c>
      <c r="I2">
        <v>0.26774336767651102</v>
      </c>
      <c r="J2">
        <v>4815.3906850167104</v>
      </c>
      <c r="K2">
        <v>0.57474980645000195</v>
      </c>
      <c r="L2" s="4">
        <v>218.55309766294999</v>
      </c>
      <c r="M2">
        <v>0.30099744824498798</v>
      </c>
      <c r="N2">
        <v>355.74068151058799</v>
      </c>
      <c r="O2">
        <v>0.36353804681965701</v>
      </c>
      <c r="P2">
        <v>64.900000000000006</v>
      </c>
      <c r="Q2">
        <v>3.71</v>
      </c>
      <c r="R2" s="4">
        <v>4.5386368824234156E-2</v>
      </c>
      <c r="S2" s="4">
        <v>3.3675361735431428</v>
      </c>
      <c r="T2">
        <v>1</v>
      </c>
      <c r="U2" s="2">
        <v>42838</v>
      </c>
      <c r="V2">
        <v>2.00136892539357</v>
      </c>
      <c r="W2" t="s">
        <v>23</v>
      </c>
      <c r="AD2" s="2"/>
      <c r="AT2" s="2"/>
      <c r="AU2" s="1"/>
      <c r="AV2" s="2"/>
      <c r="AZ2" s="9">
        <v>779893593</v>
      </c>
      <c r="BA2" s="2">
        <v>42107</v>
      </c>
      <c r="BB2">
        <v>2</v>
      </c>
      <c r="BC2">
        <v>25</v>
      </c>
      <c r="BD2">
        <v>1</v>
      </c>
      <c r="BE2">
        <v>0.5</v>
      </c>
      <c r="BF2">
        <v>2196.2098392070302</v>
      </c>
      <c r="BG2">
        <v>0.26774336767651102</v>
      </c>
      <c r="BH2">
        <v>4815.3906850167104</v>
      </c>
      <c r="BI2">
        <v>0.57474980645000195</v>
      </c>
      <c r="BJ2">
        <v>218.55309766294999</v>
      </c>
      <c r="BK2">
        <v>0.30099744824498798</v>
      </c>
      <c r="BL2">
        <v>355.74068151058799</v>
      </c>
      <c r="BM2">
        <v>0.36353804681965701</v>
      </c>
      <c r="BN2">
        <v>64.900000000000006</v>
      </c>
      <c r="BO2">
        <v>3.71</v>
      </c>
      <c r="BP2">
        <v>4.5386368824234156E-2</v>
      </c>
      <c r="BQ2">
        <v>3.3675361735431428</v>
      </c>
      <c r="BR2">
        <v>1</v>
      </c>
      <c r="BS2" s="2">
        <v>42838</v>
      </c>
      <c r="BT2">
        <v>2.00136892539357</v>
      </c>
      <c r="BU2" t="s">
        <v>23</v>
      </c>
      <c r="BY2" s="2">
        <v>43201</v>
      </c>
      <c r="BZ2">
        <v>4.5</v>
      </c>
      <c r="CA2">
        <v>1</v>
      </c>
      <c r="CB2">
        <v>23</v>
      </c>
    </row>
    <row r="3" spans="1:92" x14ac:dyDescent="0.25">
      <c r="B3" s="1" t="s">
        <v>22</v>
      </c>
      <c r="C3" s="2">
        <v>42305</v>
      </c>
      <c r="D3">
        <v>2</v>
      </c>
      <c r="E3" s="3">
        <v>29</v>
      </c>
      <c r="F3">
        <v>2.5</v>
      </c>
      <c r="G3">
        <v>0.5</v>
      </c>
      <c r="H3">
        <v>4142.7605524471901</v>
      </c>
      <c r="I3">
        <v>2.28453565417161E-2</v>
      </c>
      <c r="J3">
        <v>11108.192125198</v>
      </c>
      <c r="K3">
        <v>7.2303439088985204</v>
      </c>
      <c r="L3" s="4">
        <v>586.087397641807</v>
      </c>
      <c r="M3">
        <v>0.51883448596604798</v>
      </c>
      <c r="N3" s="4">
        <v>1202.6955394193201</v>
      </c>
      <c r="O3">
        <v>0.73626016024464003</v>
      </c>
      <c r="P3" s="4">
        <v>185</v>
      </c>
      <c r="Q3">
        <v>0.432</v>
      </c>
      <c r="R3" s="4">
        <v>5.2761726754105828E-2</v>
      </c>
      <c r="S3" s="4">
        <v>3.1680399872530107</v>
      </c>
      <c r="T3">
        <v>1</v>
      </c>
      <c r="U3" s="2">
        <v>43045</v>
      </c>
      <c r="V3">
        <v>2.02600958247776</v>
      </c>
      <c r="W3" t="s">
        <v>23</v>
      </c>
      <c r="AD3" s="2"/>
      <c r="AT3" s="2"/>
      <c r="AU3" s="1"/>
      <c r="AV3" s="2"/>
      <c r="AZ3" s="9">
        <v>779893593</v>
      </c>
      <c r="BA3" s="2">
        <v>42107</v>
      </c>
      <c r="BB3">
        <v>2</v>
      </c>
      <c r="BC3">
        <v>25</v>
      </c>
      <c r="BD3">
        <v>1</v>
      </c>
      <c r="BE3">
        <v>0.5</v>
      </c>
      <c r="BF3">
        <v>2196.2098392070302</v>
      </c>
      <c r="BG3">
        <v>0.26774336767651102</v>
      </c>
      <c r="BH3">
        <v>4815.3906850167104</v>
      </c>
      <c r="BI3">
        <v>0.57474980645000195</v>
      </c>
      <c r="BJ3">
        <v>218.55309766294999</v>
      </c>
      <c r="BK3">
        <v>0.30099744824498798</v>
      </c>
      <c r="BL3">
        <v>355.74068151058799</v>
      </c>
      <c r="BM3">
        <v>0.36353804681965701</v>
      </c>
      <c r="BN3">
        <v>64.900000000000006</v>
      </c>
      <c r="BO3">
        <v>3.71</v>
      </c>
      <c r="BP3">
        <v>4.5386368824234156E-2</v>
      </c>
      <c r="BQ3">
        <v>3.3675361735431428</v>
      </c>
      <c r="BR3">
        <v>1</v>
      </c>
      <c r="BS3" s="2">
        <v>42838</v>
      </c>
      <c r="BT3">
        <v>2.00136892539357</v>
      </c>
      <c r="BU3" t="s">
        <v>23</v>
      </c>
      <c r="BY3" s="2">
        <v>43572</v>
      </c>
      <c r="BZ3">
        <v>7</v>
      </c>
      <c r="CA3">
        <v>1</v>
      </c>
      <c r="CB3">
        <v>20</v>
      </c>
    </row>
    <row r="4" spans="1:92" x14ac:dyDescent="0.25">
      <c r="B4" s="1" t="s">
        <v>24</v>
      </c>
      <c r="C4" s="2">
        <v>43280</v>
      </c>
      <c r="D4">
        <v>2</v>
      </c>
      <c r="E4" s="3">
        <v>24</v>
      </c>
      <c r="F4">
        <v>1.5</v>
      </c>
      <c r="G4">
        <v>0.5</v>
      </c>
      <c r="H4">
        <v>892.67421252607505</v>
      </c>
      <c r="I4">
        <v>0.50818069182377201</v>
      </c>
      <c r="J4">
        <v>2590.9937250276398</v>
      </c>
      <c r="K4">
        <v>3.1171741014502898</v>
      </c>
      <c r="L4" s="4">
        <v>276.07647615992801</v>
      </c>
      <c r="M4">
        <v>6.2703709891374997</v>
      </c>
      <c r="N4">
        <v>184.45941239790599</v>
      </c>
      <c r="O4">
        <v>0.28123107403689401</v>
      </c>
      <c r="P4">
        <v>16.852</v>
      </c>
      <c r="Q4">
        <v>0.72438999999999998</v>
      </c>
      <c r="R4">
        <v>0.10655235228598746</v>
      </c>
      <c r="S4">
        <v>16.382416102535487</v>
      </c>
      <c r="T4">
        <v>1</v>
      </c>
      <c r="U4" s="2">
        <v>43789</v>
      </c>
      <c r="V4">
        <v>1.3935660506502401</v>
      </c>
      <c r="W4" t="s">
        <v>23</v>
      </c>
      <c r="AD4" s="2"/>
      <c r="AT4" s="2"/>
      <c r="AV4" s="2"/>
      <c r="AZ4" s="9">
        <v>4.2897800000000004E+41</v>
      </c>
      <c r="BA4" s="2">
        <v>43081</v>
      </c>
      <c r="BB4">
        <v>2</v>
      </c>
      <c r="BC4">
        <v>24</v>
      </c>
      <c r="BD4">
        <v>2.5</v>
      </c>
      <c r="BE4">
        <v>0.5</v>
      </c>
      <c r="BF4">
        <v>6750.0900146206404</v>
      </c>
      <c r="BG4">
        <v>3.8844576830205999</v>
      </c>
      <c r="BH4">
        <v>14267.0579242249</v>
      </c>
      <c r="BI4">
        <v>2.4766795011567099E-2</v>
      </c>
      <c r="BJ4">
        <v>619.13827651999202</v>
      </c>
      <c r="BK4">
        <v>1.84610583755429</v>
      </c>
      <c r="BL4">
        <v>2067.5020049933</v>
      </c>
      <c r="BM4">
        <v>5.4568299953817396</v>
      </c>
      <c r="BN4">
        <v>320.62</v>
      </c>
      <c r="BO4">
        <v>9.1583000000000006</v>
      </c>
      <c r="BP4">
        <v>4.3396352619324528E-2</v>
      </c>
      <c r="BQ4">
        <v>1.9310656743808621</v>
      </c>
      <c r="BR4">
        <v>1</v>
      </c>
      <c r="BS4" s="2">
        <v>43451</v>
      </c>
      <c r="BT4">
        <v>1.01300479123888</v>
      </c>
      <c r="BU4" t="s">
        <v>23</v>
      </c>
      <c r="BY4" s="2">
        <v>43803</v>
      </c>
      <c r="BZ4">
        <v>9</v>
      </c>
      <c r="CA4">
        <v>2</v>
      </c>
      <c r="CB4">
        <v>15</v>
      </c>
    </row>
    <row r="5" spans="1:92" x14ac:dyDescent="0.25">
      <c r="B5" s="1" t="s">
        <v>25</v>
      </c>
      <c r="C5" s="2">
        <v>43083</v>
      </c>
      <c r="D5">
        <v>2</v>
      </c>
      <c r="E5" s="3">
        <v>27</v>
      </c>
      <c r="F5">
        <v>1.5</v>
      </c>
      <c r="G5">
        <v>0.5</v>
      </c>
      <c r="H5">
        <v>3218.7056090076499</v>
      </c>
      <c r="I5">
        <v>1.36469187843887</v>
      </c>
      <c r="J5">
        <v>8093.0264034967704</v>
      </c>
      <c r="K5">
        <v>1.5217782998343801</v>
      </c>
      <c r="L5" s="4">
        <v>481.97777075878003</v>
      </c>
      <c r="M5">
        <v>3.0789600021835302</v>
      </c>
      <c r="N5" s="4">
        <v>518.63691476047404</v>
      </c>
      <c r="O5">
        <v>2.2599876371343299</v>
      </c>
      <c r="P5" s="4">
        <v>89.234999999999999</v>
      </c>
      <c r="Q5">
        <v>8.2754999999999992</v>
      </c>
      <c r="R5" s="4">
        <v>5.9554701384704603E-2</v>
      </c>
      <c r="S5" s="4">
        <v>5.4012189248476501</v>
      </c>
      <c r="T5">
        <v>1</v>
      </c>
      <c r="U5" s="2">
        <v>43479</v>
      </c>
      <c r="V5">
        <v>1.08418891170431</v>
      </c>
      <c r="W5" t="s">
        <v>23</v>
      </c>
      <c r="AD5" s="2"/>
      <c r="AT5" s="2"/>
      <c r="AV5" s="2"/>
      <c r="AZ5" s="9">
        <v>4.2897800000000004E+41</v>
      </c>
      <c r="BA5" s="2">
        <v>43081</v>
      </c>
      <c r="BB5">
        <v>2</v>
      </c>
      <c r="BC5">
        <v>24</v>
      </c>
      <c r="BD5">
        <v>2.5</v>
      </c>
      <c r="BE5">
        <v>0.5</v>
      </c>
      <c r="BF5">
        <v>6750.0900146206404</v>
      </c>
      <c r="BG5">
        <v>3.8844576830205999</v>
      </c>
      <c r="BH5">
        <v>14267.0579242249</v>
      </c>
      <c r="BI5">
        <v>2.4766795011567099E-2</v>
      </c>
      <c r="BJ5">
        <v>619.13827651999202</v>
      </c>
      <c r="BK5">
        <v>1.84610583755429</v>
      </c>
      <c r="BL5">
        <v>2067.5020049933</v>
      </c>
      <c r="BM5">
        <v>5.4568299953817396</v>
      </c>
      <c r="BN5">
        <v>320.62</v>
      </c>
      <c r="BO5">
        <v>9.1583000000000006</v>
      </c>
      <c r="BP5">
        <v>4.3396352619324528E-2</v>
      </c>
      <c r="BQ5">
        <v>1.9310656743808621</v>
      </c>
      <c r="BR5">
        <v>1</v>
      </c>
      <c r="BS5" s="2">
        <v>43451</v>
      </c>
      <c r="BT5">
        <v>1.01300479123888</v>
      </c>
      <c r="BU5" t="s">
        <v>23</v>
      </c>
      <c r="BY5" s="2">
        <v>44230</v>
      </c>
      <c r="BZ5">
        <v>13</v>
      </c>
      <c r="CA5">
        <v>2</v>
      </c>
      <c r="CB5">
        <v>3</v>
      </c>
    </row>
    <row r="6" spans="1:92" x14ac:dyDescent="0.25">
      <c r="B6" s="1" t="s">
        <v>26</v>
      </c>
      <c r="C6" s="2">
        <v>41970</v>
      </c>
      <c r="D6">
        <v>2</v>
      </c>
      <c r="E6" s="3">
        <v>27</v>
      </c>
      <c r="F6">
        <v>1</v>
      </c>
      <c r="G6">
        <v>0.5</v>
      </c>
      <c r="H6">
        <v>2485.1508582819501</v>
      </c>
      <c r="I6">
        <v>1.7150211682202301</v>
      </c>
      <c r="J6">
        <v>6862.7047117243101</v>
      </c>
      <c r="K6">
        <v>8.6641168620004497E-2</v>
      </c>
      <c r="L6" s="4">
        <v>416.451925719163</v>
      </c>
      <c r="M6">
        <v>0.28035003799354402</v>
      </c>
      <c r="N6" s="4">
        <v>602.76456602430403</v>
      </c>
      <c r="O6">
        <v>1.7934178095047599</v>
      </c>
      <c r="P6" s="4">
        <v>86.5</v>
      </c>
      <c r="Q6">
        <v>1.1399999999999999</v>
      </c>
      <c r="R6" s="4">
        <v>6.0683352003721297E-2</v>
      </c>
      <c r="S6" s="4">
        <v>4.8144731297013061</v>
      </c>
      <c r="T6">
        <v>1</v>
      </c>
      <c r="U6" s="2">
        <v>42689</v>
      </c>
      <c r="V6">
        <v>1.9685147159479801</v>
      </c>
      <c r="W6" t="s">
        <v>23</v>
      </c>
      <c r="AB6" t="s">
        <v>133</v>
      </c>
      <c r="AC6" t="s">
        <v>55</v>
      </c>
      <c r="AD6" s="2">
        <v>43234</v>
      </c>
      <c r="AE6" t="s">
        <v>130</v>
      </c>
      <c r="AF6" t="s">
        <v>131</v>
      </c>
      <c r="AG6" t="s">
        <v>137</v>
      </c>
      <c r="AH6" s="3">
        <v>3763.2578312611499</v>
      </c>
      <c r="AI6" s="3">
        <v>2.4326063486653098</v>
      </c>
      <c r="AJ6" s="3">
        <v>9456.3490882633796</v>
      </c>
      <c r="AK6" s="3">
        <v>4.4420354688378998</v>
      </c>
      <c r="AL6" s="3">
        <v>1100.3586910024001</v>
      </c>
      <c r="AM6" s="3">
        <v>3.2807560235606998</v>
      </c>
      <c r="AN6" s="3">
        <v>379.73722462438297</v>
      </c>
      <c r="AO6" s="3">
        <v>2.5054288929841801</v>
      </c>
      <c r="AP6" s="3">
        <v>61.128999999999998</v>
      </c>
      <c r="AQ6" s="3">
        <v>2.9592999999999998</v>
      </c>
      <c r="AR6" s="3">
        <v>0.116361894081099</v>
      </c>
      <c r="AS6" s="3"/>
      <c r="AT6" s="2">
        <v>44691</v>
      </c>
      <c r="AU6">
        <v>5.9438740588637904</v>
      </c>
      <c r="AX6" t="s">
        <v>98</v>
      </c>
      <c r="AZ6" s="14" t="s">
        <v>22</v>
      </c>
      <c r="BA6" s="2">
        <v>42305</v>
      </c>
      <c r="BB6">
        <v>2</v>
      </c>
      <c r="BC6">
        <v>29</v>
      </c>
      <c r="BD6">
        <v>2.5</v>
      </c>
      <c r="BE6">
        <v>0.5</v>
      </c>
      <c r="BF6">
        <v>4142.7605524471901</v>
      </c>
      <c r="BG6">
        <v>2.28453565417161E-2</v>
      </c>
      <c r="BH6">
        <v>11108.192125198</v>
      </c>
      <c r="BI6">
        <v>7.2303439088985204</v>
      </c>
      <c r="BJ6">
        <v>586.087397641807</v>
      </c>
      <c r="BK6">
        <v>0.51883448596604798</v>
      </c>
      <c r="BL6">
        <v>1202.6955394193201</v>
      </c>
      <c r="BM6">
        <v>0.73626016024464003</v>
      </c>
      <c r="BN6">
        <v>185</v>
      </c>
      <c r="BO6">
        <v>0.432</v>
      </c>
      <c r="BP6">
        <v>5.2761726754105828E-2</v>
      </c>
      <c r="BQ6">
        <v>3.1680399872530107</v>
      </c>
      <c r="BR6">
        <v>1</v>
      </c>
      <c r="BS6" s="2">
        <v>43045</v>
      </c>
      <c r="BT6">
        <v>2.02600958247776</v>
      </c>
      <c r="BU6" t="s">
        <v>23</v>
      </c>
      <c r="BY6" s="2">
        <v>43045</v>
      </c>
      <c r="BZ6">
        <v>4</v>
      </c>
      <c r="CA6">
        <v>0.5</v>
      </c>
      <c r="CB6">
        <v>24</v>
      </c>
    </row>
    <row r="7" spans="1:92" x14ac:dyDescent="0.25">
      <c r="B7" s="1" t="s">
        <v>27</v>
      </c>
      <c r="C7" s="2">
        <v>43046</v>
      </c>
      <c r="D7">
        <v>2</v>
      </c>
      <c r="E7" s="3">
        <v>26</v>
      </c>
      <c r="F7">
        <v>1</v>
      </c>
      <c r="G7">
        <v>0.5</v>
      </c>
      <c r="T7">
        <v>1</v>
      </c>
      <c r="U7" s="2">
        <v>44539</v>
      </c>
      <c r="V7">
        <v>4.0876112251882297</v>
      </c>
      <c r="W7" t="s">
        <v>23</v>
      </c>
      <c r="AB7" t="s">
        <v>134</v>
      </c>
      <c r="AC7" t="s">
        <v>55</v>
      </c>
      <c r="AD7" s="2">
        <v>44691</v>
      </c>
      <c r="AE7" t="s">
        <v>138</v>
      </c>
      <c r="AF7" t="s">
        <v>129</v>
      </c>
      <c r="AG7" t="s">
        <v>139</v>
      </c>
      <c r="AJ7">
        <v>12576</v>
      </c>
      <c r="AL7">
        <v>1049</v>
      </c>
      <c r="AN7">
        <v>455</v>
      </c>
      <c r="AP7">
        <v>67</v>
      </c>
      <c r="AR7" s="13">
        <v>8.3412849872773531E-2</v>
      </c>
      <c r="AS7" s="3">
        <v>15.656716417910447</v>
      </c>
      <c r="AT7" s="2">
        <v>44691</v>
      </c>
      <c r="AU7">
        <v>5.9438740588637904</v>
      </c>
      <c r="AZ7" s="9" t="s">
        <v>22</v>
      </c>
      <c r="BA7" s="2">
        <v>42305</v>
      </c>
      <c r="BB7">
        <v>2</v>
      </c>
      <c r="BC7">
        <v>29</v>
      </c>
      <c r="BD7">
        <v>2.5</v>
      </c>
      <c r="BE7">
        <v>0.5</v>
      </c>
      <c r="BF7">
        <v>4142.7605524471901</v>
      </c>
      <c r="BG7">
        <v>2.28453565417161E-2</v>
      </c>
      <c r="BH7">
        <v>11108.192125198</v>
      </c>
      <c r="BI7">
        <v>7.2303439088985204</v>
      </c>
      <c r="BJ7">
        <v>586.087397641807</v>
      </c>
      <c r="BK7">
        <v>0.51883448596604798</v>
      </c>
      <c r="BL7">
        <v>1202.6955394193201</v>
      </c>
      <c r="BM7">
        <v>0.73626016024464003</v>
      </c>
      <c r="BN7">
        <v>185</v>
      </c>
      <c r="BO7">
        <v>0.432</v>
      </c>
      <c r="BP7">
        <v>5.2761726754105828E-2</v>
      </c>
      <c r="BQ7">
        <v>3.1680399872530107</v>
      </c>
      <c r="BR7">
        <v>1</v>
      </c>
      <c r="BS7" s="2">
        <v>43045</v>
      </c>
      <c r="BT7">
        <v>2.02600958247776</v>
      </c>
      <c r="BU7" t="s">
        <v>23</v>
      </c>
      <c r="BY7" s="2">
        <v>43395</v>
      </c>
      <c r="BZ7">
        <v>5</v>
      </c>
      <c r="CA7">
        <v>1</v>
      </c>
      <c r="CB7">
        <v>23</v>
      </c>
    </row>
    <row r="8" spans="1:92" x14ac:dyDescent="0.25">
      <c r="B8" s="1" t="s">
        <v>28</v>
      </c>
      <c r="C8" s="2">
        <v>42130</v>
      </c>
      <c r="D8">
        <v>2</v>
      </c>
      <c r="E8" s="3">
        <v>29</v>
      </c>
      <c r="F8">
        <v>3</v>
      </c>
      <c r="G8">
        <v>0.5</v>
      </c>
      <c r="H8">
        <v>1871.98838305446</v>
      </c>
      <c r="I8">
        <v>3.5058528246656699</v>
      </c>
      <c r="J8">
        <v>5731.6275896831403</v>
      </c>
      <c r="K8">
        <v>1.9145085607843899</v>
      </c>
      <c r="L8" s="4">
        <v>284.72150568121401</v>
      </c>
      <c r="M8">
        <v>1.50809171313665</v>
      </c>
      <c r="N8">
        <v>447.01405304591401</v>
      </c>
      <c r="O8">
        <v>3.25807291480813</v>
      </c>
      <c r="P8">
        <v>67.3</v>
      </c>
      <c r="Q8">
        <v>7.4499999999999997E-2</v>
      </c>
      <c r="R8" s="4">
        <v>4.9675506865398802E-2</v>
      </c>
      <c r="S8" s="4">
        <v>4.2306315851591982</v>
      </c>
      <c r="T8">
        <v>1</v>
      </c>
      <c r="U8" s="2">
        <v>43229</v>
      </c>
      <c r="V8">
        <v>3.0088980150581799</v>
      </c>
      <c r="W8" t="s">
        <v>23</v>
      </c>
      <c r="AB8" t="s">
        <v>133</v>
      </c>
      <c r="AC8" t="s">
        <v>40</v>
      </c>
      <c r="AD8" s="2">
        <v>42304</v>
      </c>
      <c r="AE8" t="s">
        <v>132</v>
      </c>
      <c r="AF8" t="s">
        <v>131</v>
      </c>
      <c r="AG8" t="s">
        <v>139</v>
      </c>
      <c r="AX8" t="s">
        <v>97</v>
      </c>
      <c r="AZ8" s="9" t="s">
        <v>22</v>
      </c>
      <c r="BA8" s="2">
        <v>42305</v>
      </c>
      <c r="BB8">
        <v>2</v>
      </c>
      <c r="BC8">
        <v>29</v>
      </c>
      <c r="BD8">
        <v>2.5</v>
      </c>
      <c r="BE8">
        <v>0.5</v>
      </c>
      <c r="BF8">
        <v>4142.7605524471901</v>
      </c>
      <c r="BG8">
        <v>2.28453565417161E-2</v>
      </c>
      <c r="BH8">
        <v>11108.192125198</v>
      </c>
      <c r="BI8">
        <v>7.2303439088985204</v>
      </c>
      <c r="BJ8">
        <v>586.087397641807</v>
      </c>
      <c r="BK8">
        <v>0.51883448596604798</v>
      </c>
      <c r="BL8">
        <v>1202.6955394193201</v>
      </c>
      <c r="BM8">
        <v>0.73626016024464003</v>
      </c>
      <c r="BN8">
        <v>185</v>
      </c>
      <c r="BO8">
        <v>0.432</v>
      </c>
      <c r="BP8">
        <v>5.2761726754105828E-2</v>
      </c>
      <c r="BQ8">
        <v>3.1680399872530107</v>
      </c>
      <c r="BR8">
        <v>1</v>
      </c>
      <c r="BS8" s="2">
        <v>43045</v>
      </c>
      <c r="BT8">
        <v>2.02600958247776</v>
      </c>
      <c r="BU8" t="s">
        <v>23</v>
      </c>
      <c r="BY8" s="2">
        <v>43773</v>
      </c>
      <c r="BZ8">
        <v>12</v>
      </c>
      <c r="CA8">
        <v>2</v>
      </c>
      <c r="CB8">
        <v>21</v>
      </c>
    </row>
    <row r="9" spans="1:92" x14ac:dyDescent="0.25">
      <c r="B9" s="1" t="s">
        <v>29</v>
      </c>
      <c r="C9" s="2">
        <v>43108</v>
      </c>
      <c r="D9">
        <v>2</v>
      </c>
      <c r="E9" s="3">
        <v>29</v>
      </c>
      <c r="F9">
        <v>2</v>
      </c>
      <c r="G9">
        <v>0.5</v>
      </c>
      <c r="H9">
        <v>2317.0393015790801</v>
      </c>
      <c r="I9">
        <v>2.3724815832932702</v>
      </c>
      <c r="J9">
        <v>7246.9748133313997</v>
      </c>
      <c r="K9">
        <v>1.2534978781005299</v>
      </c>
      <c r="L9" s="4">
        <v>537.42856749790803</v>
      </c>
      <c r="M9">
        <v>0.48129774824604599</v>
      </c>
      <c r="N9">
        <v>253.11253409895301</v>
      </c>
      <c r="O9">
        <v>0.42568163718258401</v>
      </c>
      <c r="P9">
        <v>48.582999999999998</v>
      </c>
      <c r="Q9">
        <v>4.0754000000000001</v>
      </c>
      <c r="R9" s="4">
        <v>7.4159022397768573E-2</v>
      </c>
      <c r="S9">
        <v>11.062070425826072</v>
      </c>
      <c r="T9">
        <v>1</v>
      </c>
      <c r="U9" s="2">
        <v>43494</v>
      </c>
      <c r="V9">
        <v>1.05681040383299</v>
      </c>
      <c r="W9" t="s">
        <v>23</v>
      </c>
      <c r="AB9" t="s">
        <v>134</v>
      </c>
      <c r="AC9" t="s">
        <v>40</v>
      </c>
      <c r="AD9" s="2">
        <v>42650</v>
      </c>
      <c r="AE9" t="s">
        <v>141</v>
      </c>
      <c r="AF9" t="s">
        <v>129</v>
      </c>
      <c r="AG9" t="s">
        <v>139</v>
      </c>
      <c r="AZ9" s="14" t="s">
        <v>24</v>
      </c>
      <c r="BA9" s="2">
        <v>43280</v>
      </c>
      <c r="BB9">
        <v>2</v>
      </c>
      <c r="BC9">
        <v>24</v>
      </c>
      <c r="BD9">
        <v>1.5</v>
      </c>
      <c r="BE9">
        <v>0.5</v>
      </c>
      <c r="BF9">
        <v>892.67421252607505</v>
      </c>
      <c r="BG9">
        <v>0.50818069182377201</v>
      </c>
      <c r="BH9">
        <v>2590.9937250276398</v>
      </c>
      <c r="BI9">
        <v>3.1171741014502898</v>
      </c>
      <c r="BJ9">
        <v>276.07647615992801</v>
      </c>
      <c r="BK9">
        <v>6.2703709891374997</v>
      </c>
      <c r="BL9">
        <v>184.45941239790599</v>
      </c>
      <c r="BM9">
        <v>0.28123107403689401</v>
      </c>
      <c r="BN9">
        <v>16.852</v>
      </c>
      <c r="BO9">
        <v>0.72438999999999998</v>
      </c>
      <c r="BP9">
        <v>0.10655235228598746</v>
      </c>
      <c r="BQ9">
        <v>16.382416102535487</v>
      </c>
      <c r="BR9">
        <v>1</v>
      </c>
      <c r="BS9" s="2">
        <v>43789</v>
      </c>
      <c r="BT9">
        <v>1.3935660506502401</v>
      </c>
      <c r="BU9" t="s">
        <v>23</v>
      </c>
      <c r="BY9" s="2">
        <v>43789</v>
      </c>
      <c r="BZ9">
        <v>4.5</v>
      </c>
      <c r="CA9">
        <v>1</v>
      </c>
      <c r="CB9">
        <v>25</v>
      </c>
    </row>
    <row r="10" spans="1:92" x14ac:dyDescent="0.25">
      <c r="B10" s="1" t="s">
        <v>30</v>
      </c>
      <c r="C10" s="2">
        <v>42219</v>
      </c>
      <c r="D10">
        <v>2</v>
      </c>
      <c r="E10" s="3">
        <v>27</v>
      </c>
      <c r="F10">
        <v>1</v>
      </c>
      <c r="G10">
        <v>0.5</v>
      </c>
      <c r="H10">
        <v>3631.2131453995498</v>
      </c>
      <c r="I10">
        <v>2.1291827628465998</v>
      </c>
      <c r="J10">
        <v>12683.2538853679</v>
      </c>
      <c r="K10">
        <v>5.1190149732615398</v>
      </c>
      <c r="L10" s="4">
        <v>510.11541989150697</v>
      </c>
      <c r="M10">
        <v>2.8556070720445401</v>
      </c>
      <c r="N10" s="4">
        <v>852.94171338756098</v>
      </c>
      <c r="O10">
        <v>6.6297219055850096</v>
      </c>
      <c r="P10" s="4">
        <v>97.8</v>
      </c>
      <c r="Q10">
        <v>3.92</v>
      </c>
      <c r="R10" s="4">
        <v>4.0219601728544142E-2</v>
      </c>
      <c r="S10" s="4">
        <v>5.2159040888702144</v>
      </c>
      <c r="T10">
        <v>1</v>
      </c>
      <c r="U10" s="2">
        <v>42634</v>
      </c>
      <c r="V10">
        <v>1.1362080766598199</v>
      </c>
      <c r="W10" t="s">
        <v>23</v>
      </c>
      <c r="AB10" t="s">
        <v>145</v>
      </c>
      <c r="AC10" t="s">
        <v>65</v>
      </c>
      <c r="AD10" s="2">
        <v>42466</v>
      </c>
      <c r="AE10" t="s">
        <v>142</v>
      </c>
      <c r="AF10" t="s">
        <v>131</v>
      </c>
      <c r="AG10" t="s">
        <v>135</v>
      </c>
      <c r="AX10" t="s">
        <v>97</v>
      </c>
      <c r="AZ10" s="9" t="s">
        <v>25</v>
      </c>
      <c r="BA10" s="2">
        <v>43083</v>
      </c>
      <c r="BB10">
        <v>2</v>
      </c>
      <c r="BC10">
        <v>27</v>
      </c>
      <c r="BD10">
        <v>1.5</v>
      </c>
      <c r="BE10">
        <v>0.5</v>
      </c>
      <c r="BF10">
        <v>3218.7056090076499</v>
      </c>
      <c r="BG10">
        <v>1.36469187843887</v>
      </c>
      <c r="BH10">
        <v>8093.0264034967704</v>
      </c>
      <c r="BI10">
        <v>1.5217782998343801</v>
      </c>
      <c r="BJ10">
        <v>481.97777075878003</v>
      </c>
      <c r="BK10">
        <v>3.0789600021835302</v>
      </c>
      <c r="BL10">
        <v>518.63691476047404</v>
      </c>
      <c r="BM10">
        <v>2.2599876371343299</v>
      </c>
      <c r="BN10">
        <v>89.234999999999999</v>
      </c>
      <c r="BO10">
        <v>8.2754999999999992</v>
      </c>
      <c r="BP10">
        <v>5.9554701384704603E-2</v>
      </c>
      <c r="BQ10">
        <v>5.4012189248476501</v>
      </c>
      <c r="BR10">
        <v>1</v>
      </c>
      <c r="BS10" s="2">
        <v>43479</v>
      </c>
      <c r="BT10">
        <v>1.08418891170431</v>
      </c>
      <c r="BU10" t="s">
        <v>23</v>
      </c>
      <c r="BY10" s="2">
        <v>44320</v>
      </c>
      <c r="BZ10">
        <v>5.5</v>
      </c>
      <c r="CA10">
        <v>1</v>
      </c>
      <c r="CB10">
        <v>22</v>
      </c>
      <c r="CC10">
        <v>2507.7087825144899</v>
      </c>
      <c r="CD10">
        <v>13.9472302438552</v>
      </c>
      <c r="CE10">
        <v>7909.6213073937897</v>
      </c>
      <c r="CF10">
        <v>0.46731256382512298</v>
      </c>
      <c r="CG10" s="4">
        <v>455.30731474498498</v>
      </c>
      <c r="CH10">
        <v>1.06536462404816</v>
      </c>
      <c r="CI10" s="4">
        <v>689</v>
      </c>
      <c r="CK10" s="4">
        <v>92.204999999999998</v>
      </c>
      <c r="CL10">
        <v>0.93911</v>
      </c>
      <c r="CM10" s="4">
        <v>5.7563731188921885E-2</v>
      </c>
      <c r="CN10" s="4">
        <v>4.937989422970392</v>
      </c>
    </row>
    <row r="11" spans="1:92" x14ac:dyDescent="0.25">
      <c r="B11" s="1" t="s">
        <v>33</v>
      </c>
      <c r="C11" s="2">
        <v>41988</v>
      </c>
      <c r="D11">
        <v>2</v>
      </c>
      <c r="E11" s="3">
        <v>29</v>
      </c>
      <c r="F11">
        <v>0.5</v>
      </c>
      <c r="G11">
        <v>0.5</v>
      </c>
      <c r="H11">
        <v>2645.5398204569401</v>
      </c>
      <c r="I11">
        <v>0.95739129841869497</v>
      </c>
      <c r="J11">
        <v>6661.7935382734904</v>
      </c>
      <c r="K11">
        <v>0.72231257985034003</v>
      </c>
      <c r="L11" s="4">
        <v>454.70446559037902</v>
      </c>
      <c r="M11">
        <v>1.71294460625668</v>
      </c>
      <c r="N11">
        <v>372.86121392602797</v>
      </c>
      <c r="O11">
        <v>3.0914573079880801E-2</v>
      </c>
      <c r="P11">
        <v>32.9</v>
      </c>
      <c r="Q11">
        <v>8.31</v>
      </c>
      <c r="R11" s="4">
        <v>6.825556255653982E-2</v>
      </c>
      <c r="S11">
        <v>13.820804425239483</v>
      </c>
      <c r="T11">
        <v>1</v>
      </c>
      <c r="U11" s="2">
        <v>44902</v>
      </c>
      <c r="V11">
        <v>7.9780971937029399</v>
      </c>
      <c r="W11" t="s">
        <v>23</v>
      </c>
      <c r="AB11" t="s">
        <v>145</v>
      </c>
      <c r="AC11" t="s">
        <v>65</v>
      </c>
      <c r="AD11" s="2">
        <v>42817</v>
      </c>
      <c r="AE11" t="s">
        <v>140</v>
      </c>
      <c r="AF11" t="s">
        <v>129</v>
      </c>
      <c r="AG11" t="s">
        <v>143</v>
      </c>
      <c r="AX11" t="s">
        <v>98</v>
      </c>
      <c r="AZ11" s="9" t="s">
        <v>26</v>
      </c>
      <c r="BA11" s="2">
        <v>41970</v>
      </c>
      <c r="BB11">
        <v>2</v>
      </c>
      <c r="BC11">
        <v>27</v>
      </c>
      <c r="BD11">
        <v>1</v>
      </c>
      <c r="BE11">
        <v>0.5</v>
      </c>
      <c r="BF11">
        <v>2485.1508582819501</v>
      </c>
      <c r="BG11">
        <v>1.7150211682202301</v>
      </c>
      <c r="BH11">
        <v>6862.7047117243101</v>
      </c>
      <c r="BI11">
        <v>8.6641168620004497E-2</v>
      </c>
      <c r="BJ11">
        <v>416.451925719163</v>
      </c>
      <c r="BK11">
        <v>0.28035003799354402</v>
      </c>
      <c r="BL11">
        <v>602.76456602430403</v>
      </c>
      <c r="BM11">
        <v>1.7934178095047599</v>
      </c>
      <c r="BN11">
        <v>86.5</v>
      </c>
      <c r="BO11">
        <v>1.1399999999999999</v>
      </c>
      <c r="BP11">
        <v>6.0683352003721297E-2</v>
      </c>
      <c r="BQ11">
        <v>4.8144731297013061</v>
      </c>
      <c r="BR11">
        <v>1</v>
      </c>
      <c r="BS11" s="2">
        <v>42689</v>
      </c>
      <c r="BT11">
        <v>1.9685147159479801</v>
      </c>
      <c r="BU11" t="s">
        <v>23</v>
      </c>
      <c r="BY11" s="2">
        <v>42689</v>
      </c>
      <c r="BZ11">
        <v>7</v>
      </c>
      <c r="CA11">
        <v>1</v>
      </c>
      <c r="CB11">
        <v>20</v>
      </c>
    </row>
    <row r="12" spans="1:92" x14ac:dyDescent="0.25">
      <c r="B12" s="1" t="s">
        <v>34</v>
      </c>
      <c r="C12" s="2">
        <v>43003</v>
      </c>
      <c r="D12">
        <v>2</v>
      </c>
      <c r="E12" s="3">
        <v>28</v>
      </c>
      <c r="F12">
        <v>2.5</v>
      </c>
      <c r="G12">
        <v>0.5</v>
      </c>
      <c r="T12">
        <v>1</v>
      </c>
      <c r="U12" s="2">
        <v>43740</v>
      </c>
      <c r="V12">
        <v>2.0177960301163602</v>
      </c>
      <c r="W12" t="s">
        <v>23</v>
      </c>
      <c r="AB12" t="s">
        <v>145</v>
      </c>
      <c r="AC12" t="s">
        <v>65</v>
      </c>
      <c r="AD12" s="2">
        <v>43159</v>
      </c>
      <c r="AE12" t="s">
        <v>141</v>
      </c>
      <c r="AF12" t="s">
        <v>131</v>
      </c>
      <c r="AG12" t="s">
        <v>143</v>
      </c>
      <c r="AX12" t="s">
        <v>99</v>
      </c>
      <c r="AZ12" s="9" t="s">
        <v>26</v>
      </c>
      <c r="BA12" s="2">
        <v>41970</v>
      </c>
      <c r="BB12">
        <v>2</v>
      </c>
      <c r="BC12">
        <v>27</v>
      </c>
      <c r="BD12">
        <v>1</v>
      </c>
      <c r="BE12">
        <v>0.5</v>
      </c>
      <c r="BF12">
        <v>2485.1508582819501</v>
      </c>
      <c r="BG12">
        <v>1.7150211682202301</v>
      </c>
      <c r="BH12">
        <v>6862.7047117243101</v>
      </c>
      <c r="BI12">
        <v>8.6641168620004497E-2</v>
      </c>
      <c r="BJ12">
        <v>416.451925719163</v>
      </c>
      <c r="BK12">
        <v>0.28035003799354402</v>
      </c>
      <c r="BL12">
        <v>602.76456602430403</v>
      </c>
      <c r="BM12">
        <v>1.7934178095047599</v>
      </c>
      <c r="BN12">
        <v>86.5</v>
      </c>
      <c r="BO12">
        <v>1.1399999999999999</v>
      </c>
      <c r="BP12">
        <v>6.0683352003721297E-2</v>
      </c>
      <c r="BQ12">
        <v>4.8144731297013061</v>
      </c>
      <c r="BR12">
        <v>1</v>
      </c>
      <c r="BS12" s="2">
        <v>42689</v>
      </c>
      <c r="BT12">
        <v>1.9685147159479801</v>
      </c>
      <c r="BU12" t="s">
        <v>23</v>
      </c>
      <c r="BY12" s="2">
        <v>43067</v>
      </c>
      <c r="BZ12">
        <v>8</v>
      </c>
      <c r="CA12">
        <v>1</v>
      </c>
      <c r="CB12">
        <v>18</v>
      </c>
      <c r="CC12">
        <v>2321.4843998162901</v>
      </c>
      <c r="CD12">
        <v>2.7934604690492502</v>
      </c>
      <c r="CE12">
        <v>7875.3386976420097</v>
      </c>
      <c r="CF12">
        <v>0.67903773387500499</v>
      </c>
      <c r="CG12" s="4">
        <v>462.88015461658301</v>
      </c>
      <c r="CH12">
        <v>4.1609100475060998</v>
      </c>
      <c r="CI12">
        <v>456.72217819999997</v>
      </c>
      <c r="CJ12">
        <v>4.4102334360000004</v>
      </c>
      <c r="CK12" s="4">
        <v>79.917000000000002</v>
      </c>
      <c r="CL12">
        <v>2.5687000000000002</v>
      </c>
      <c r="CM12" s="4">
        <v>5.8775904426202778E-2</v>
      </c>
      <c r="CN12" s="4">
        <v>5.7920111442694671</v>
      </c>
    </row>
    <row r="13" spans="1:92" x14ac:dyDescent="0.25">
      <c r="B13" s="1" t="s">
        <v>35</v>
      </c>
      <c r="C13" s="2">
        <v>42845</v>
      </c>
      <c r="D13">
        <v>2</v>
      </c>
      <c r="E13" s="3">
        <v>26</v>
      </c>
      <c r="F13">
        <v>4</v>
      </c>
      <c r="G13">
        <v>0.5</v>
      </c>
      <c r="T13">
        <v>1</v>
      </c>
      <c r="U13" s="2">
        <v>44664</v>
      </c>
      <c r="V13">
        <v>4.9801505817932901</v>
      </c>
      <c r="W13" t="s">
        <v>23</v>
      </c>
      <c r="AB13" t="s">
        <v>146</v>
      </c>
      <c r="AC13" t="s">
        <v>65</v>
      </c>
      <c r="AD13" s="2">
        <v>43556</v>
      </c>
      <c r="AE13" t="s">
        <v>136</v>
      </c>
      <c r="AF13" t="s">
        <v>129</v>
      </c>
      <c r="AG13" t="s">
        <v>144</v>
      </c>
      <c r="AZ13" s="9" t="s">
        <v>26</v>
      </c>
      <c r="BA13" s="2">
        <v>41970</v>
      </c>
      <c r="BB13">
        <v>2</v>
      </c>
      <c r="BC13">
        <v>27</v>
      </c>
      <c r="BD13">
        <v>1</v>
      </c>
      <c r="BE13">
        <v>0.5</v>
      </c>
      <c r="BF13">
        <v>2485.1508582819501</v>
      </c>
      <c r="BG13">
        <v>1.7150211682202301</v>
      </c>
      <c r="BH13">
        <v>6862.7047117243101</v>
      </c>
      <c r="BI13">
        <v>8.6641168620004497E-2</v>
      </c>
      <c r="BJ13">
        <v>416.451925719163</v>
      </c>
      <c r="BK13">
        <v>0.28035003799354402</v>
      </c>
      <c r="BL13">
        <v>602.76456602430403</v>
      </c>
      <c r="BM13">
        <v>1.7934178095047599</v>
      </c>
      <c r="BN13">
        <v>86.5</v>
      </c>
      <c r="BO13">
        <v>1.1399999999999999</v>
      </c>
      <c r="BP13">
        <v>6.0683352003721297E-2</v>
      </c>
      <c r="BQ13">
        <v>4.8144731297013061</v>
      </c>
      <c r="BR13">
        <v>1</v>
      </c>
      <c r="BS13" s="2">
        <v>42689</v>
      </c>
      <c r="BT13">
        <v>1.9685147159479801</v>
      </c>
      <c r="BU13" t="s">
        <v>23</v>
      </c>
      <c r="BY13" s="2">
        <v>43480</v>
      </c>
      <c r="BZ13">
        <v>16</v>
      </c>
      <c r="CA13">
        <v>3</v>
      </c>
      <c r="CB13">
        <v>14</v>
      </c>
    </row>
    <row r="14" spans="1:92" x14ac:dyDescent="0.25">
      <c r="B14" s="1" t="s">
        <v>81</v>
      </c>
      <c r="C14" s="2">
        <v>43563</v>
      </c>
      <c r="E14" s="3">
        <v>27</v>
      </c>
      <c r="F14">
        <v>2.5</v>
      </c>
      <c r="G14">
        <v>0.5</v>
      </c>
      <c r="T14" s="3">
        <v>1</v>
      </c>
      <c r="U14" s="2">
        <v>44272</v>
      </c>
      <c r="V14" s="1" t="s">
        <v>93</v>
      </c>
      <c r="W14" t="s">
        <v>97</v>
      </c>
      <c r="X14">
        <v>1</v>
      </c>
      <c r="Y14" s="2">
        <v>43563</v>
      </c>
      <c r="Z14">
        <v>1.0266940451745401</v>
      </c>
      <c r="AZ14" s="14" t="s">
        <v>27</v>
      </c>
      <c r="BA14" s="2">
        <v>43046</v>
      </c>
      <c r="BB14">
        <v>2</v>
      </c>
      <c r="BC14">
        <v>26</v>
      </c>
      <c r="BD14">
        <v>1</v>
      </c>
      <c r="BE14">
        <v>0.5</v>
      </c>
      <c r="BR14">
        <v>1</v>
      </c>
      <c r="BS14" s="2">
        <v>44539</v>
      </c>
      <c r="BT14">
        <v>4.0876112251882297</v>
      </c>
      <c r="BU14" t="s">
        <v>23</v>
      </c>
      <c r="BY14" s="2">
        <v>44539</v>
      </c>
      <c r="BZ14">
        <v>7</v>
      </c>
      <c r="CA14">
        <v>1</v>
      </c>
      <c r="CB14">
        <v>25</v>
      </c>
    </row>
    <row r="15" spans="1:92" x14ac:dyDescent="0.25">
      <c r="B15" s="1" t="s">
        <v>36</v>
      </c>
      <c r="C15" s="2">
        <v>43081</v>
      </c>
      <c r="D15">
        <v>2</v>
      </c>
      <c r="E15" s="3">
        <v>24</v>
      </c>
      <c r="F15">
        <v>2.5</v>
      </c>
      <c r="G15">
        <v>0.5</v>
      </c>
      <c r="H15">
        <v>6750.0900146206404</v>
      </c>
      <c r="I15">
        <v>3.8844576830205999</v>
      </c>
      <c r="J15">
        <v>14267.0579242249</v>
      </c>
      <c r="K15">
        <v>2.4766795011567099E-2</v>
      </c>
      <c r="L15" s="4">
        <v>619.13827651999202</v>
      </c>
      <c r="M15">
        <v>1.84610583755429</v>
      </c>
      <c r="N15" s="4">
        <v>2067.5020049933</v>
      </c>
      <c r="O15">
        <v>5.4568299953817396</v>
      </c>
      <c r="P15" s="4">
        <v>320.62</v>
      </c>
      <c r="Q15">
        <v>9.1583000000000006</v>
      </c>
      <c r="R15" s="4">
        <v>4.3396352619324528E-2</v>
      </c>
      <c r="S15" s="4">
        <v>1.9310656743808621</v>
      </c>
      <c r="T15">
        <v>1</v>
      </c>
      <c r="U15" s="2">
        <v>43451</v>
      </c>
      <c r="V15">
        <v>1.01300479123888</v>
      </c>
      <c r="W15" t="s">
        <v>23</v>
      </c>
      <c r="AZ15" s="9" t="s">
        <v>27</v>
      </c>
      <c r="BA15" s="2">
        <v>43046</v>
      </c>
      <c r="BB15">
        <v>2</v>
      </c>
      <c r="BC15">
        <v>26</v>
      </c>
      <c r="BD15">
        <v>1</v>
      </c>
      <c r="BE15">
        <v>0.5</v>
      </c>
      <c r="BR15">
        <v>1</v>
      </c>
      <c r="BS15" s="2">
        <v>44539</v>
      </c>
      <c r="BT15">
        <v>4.0876112251882297</v>
      </c>
      <c r="BU15" t="s">
        <v>23</v>
      </c>
      <c r="BY15" s="2">
        <v>45112</v>
      </c>
      <c r="BZ15">
        <v>9</v>
      </c>
      <c r="CA15">
        <v>1</v>
      </c>
      <c r="CB15">
        <v>23</v>
      </c>
    </row>
    <row r="16" spans="1:92" x14ac:dyDescent="0.25">
      <c r="B16" s="1" t="s">
        <v>84</v>
      </c>
      <c r="C16" s="2">
        <v>43682</v>
      </c>
      <c r="E16" s="3">
        <v>27</v>
      </c>
      <c r="F16">
        <v>3</v>
      </c>
      <c r="G16">
        <v>0.5</v>
      </c>
      <c r="T16" s="3">
        <v>1</v>
      </c>
      <c r="U16" s="2">
        <v>44088</v>
      </c>
      <c r="V16" s="1" t="s">
        <v>95</v>
      </c>
      <c r="W16" t="s">
        <v>98</v>
      </c>
      <c r="X16">
        <v>1</v>
      </c>
      <c r="Y16" s="2">
        <v>43682</v>
      </c>
      <c r="Z16">
        <v>2.0506502395619401</v>
      </c>
      <c r="AZ16" s="9" t="s">
        <v>28</v>
      </c>
      <c r="BA16" s="2">
        <v>42130</v>
      </c>
      <c r="BB16">
        <v>2</v>
      </c>
      <c r="BC16">
        <v>29</v>
      </c>
      <c r="BD16">
        <v>3</v>
      </c>
      <c r="BE16">
        <v>0.5</v>
      </c>
      <c r="BF16">
        <v>1871.98838305446</v>
      </c>
      <c r="BG16">
        <v>3.5058528246656699</v>
      </c>
      <c r="BH16">
        <v>5731.6275896831403</v>
      </c>
      <c r="BI16">
        <v>1.9145085607843899</v>
      </c>
      <c r="BJ16">
        <v>284.72150568121401</v>
      </c>
      <c r="BK16">
        <v>1.50809171313665</v>
      </c>
      <c r="BL16">
        <v>447.01405304591401</v>
      </c>
      <c r="BM16">
        <v>3.25807291480813</v>
      </c>
      <c r="BN16">
        <v>67.3</v>
      </c>
      <c r="BO16">
        <v>7.4499999999999997E-2</v>
      </c>
      <c r="BP16">
        <v>4.9675506865398802E-2</v>
      </c>
      <c r="BQ16">
        <v>4.2306315851591982</v>
      </c>
      <c r="BR16">
        <v>1</v>
      </c>
      <c r="BS16" s="2">
        <v>43229</v>
      </c>
      <c r="BT16">
        <v>3.0088980150581799</v>
      </c>
      <c r="BU16" t="s">
        <v>23</v>
      </c>
      <c r="BY16" s="2">
        <v>43229</v>
      </c>
      <c r="BZ16">
        <v>12</v>
      </c>
      <c r="CA16">
        <v>2</v>
      </c>
      <c r="CB16">
        <v>23</v>
      </c>
    </row>
    <row r="17" spans="2:92" x14ac:dyDescent="0.25">
      <c r="B17" s="1" t="s">
        <v>37</v>
      </c>
      <c r="C17" s="2">
        <v>43185</v>
      </c>
      <c r="D17">
        <v>2</v>
      </c>
      <c r="E17" s="3">
        <v>26</v>
      </c>
      <c r="F17">
        <v>1</v>
      </c>
      <c r="G17">
        <v>0.5</v>
      </c>
      <c r="H17">
        <v>3850.7270706582999</v>
      </c>
      <c r="I17">
        <v>4.8150987057303896</v>
      </c>
      <c r="J17">
        <v>9360.0443195085099</v>
      </c>
      <c r="K17">
        <v>3.9974465154132099</v>
      </c>
      <c r="L17" s="4">
        <v>485.36093228524402</v>
      </c>
      <c r="M17">
        <v>0.88177103154997405</v>
      </c>
      <c r="N17">
        <v>403.21927666681802</v>
      </c>
      <c r="O17">
        <v>4.8248743794420797E-2</v>
      </c>
      <c r="P17" s="4">
        <v>83.590999999999994</v>
      </c>
      <c r="Q17">
        <v>3.0396000000000001</v>
      </c>
      <c r="R17" s="4">
        <v>5.185455492701449E-2</v>
      </c>
      <c r="S17" s="4">
        <v>5.8063778670579858</v>
      </c>
      <c r="T17">
        <v>1</v>
      </c>
      <c r="U17" s="2">
        <v>44265</v>
      </c>
      <c r="V17">
        <v>2.9568788501026702</v>
      </c>
      <c r="W17" t="s">
        <v>23</v>
      </c>
      <c r="AZ17" s="9" t="s">
        <v>28</v>
      </c>
      <c r="BA17" s="2">
        <v>42130</v>
      </c>
      <c r="BB17">
        <v>2</v>
      </c>
      <c r="BC17">
        <v>29</v>
      </c>
      <c r="BD17">
        <v>3</v>
      </c>
      <c r="BE17">
        <v>0.5</v>
      </c>
      <c r="BF17">
        <v>1871.98838305446</v>
      </c>
      <c r="BG17">
        <v>3.5058528246656699</v>
      </c>
      <c r="BH17">
        <v>5731.6275896831403</v>
      </c>
      <c r="BI17">
        <v>1.9145085607843899</v>
      </c>
      <c r="BJ17">
        <v>284.72150568121401</v>
      </c>
      <c r="BK17">
        <v>1.50809171313665</v>
      </c>
      <c r="BL17">
        <v>447.01405304591401</v>
      </c>
      <c r="BM17">
        <v>3.25807291480813</v>
      </c>
      <c r="BN17">
        <v>67.3</v>
      </c>
      <c r="BO17">
        <v>7.4499999999999997E-2</v>
      </c>
      <c r="BP17">
        <v>4.9675506865398802E-2</v>
      </c>
      <c r="BQ17">
        <v>4.2306315851591982</v>
      </c>
      <c r="BR17">
        <v>1</v>
      </c>
      <c r="BS17" s="2">
        <v>43229</v>
      </c>
      <c r="BT17">
        <v>3.0088980150581799</v>
      </c>
      <c r="BU17" t="s">
        <v>23</v>
      </c>
      <c r="BY17" s="2">
        <v>43629</v>
      </c>
      <c r="BZ17">
        <v>10</v>
      </c>
      <c r="CA17">
        <v>2</v>
      </c>
      <c r="CB17">
        <v>15</v>
      </c>
    </row>
    <row r="18" spans="2:92" x14ac:dyDescent="0.25">
      <c r="B18" s="1" t="s">
        <v>38</v>
      </c>
      <c r="C18" s="2">
        <v>41946</v>
      </c>
      <c r="D18">
        <v>2</v>
      </c>
      <c r="E18" s="3">
        <v>27</v>
      </c>
      <c r="F18">
        <v>2.5</v>
      </c>
      <c r="G18">
        <v>0.5</v>
      </c>
      <c r="T18">
        <v>1</v>
      </c>
      <c r="U18" s="2">
        <v>42387</v>
      </c>
      <c r="V18">
        <v>1.2073921971252599</v>
      </c>
      <c r="W18" t="s">
        <v>23</v>
      </c>
      <c r="AZ18" s="9" t="s">
        <v>28</v>
      </c>
      <c r="BA18" s="2">
        <v>42130</v>
      </c>
      <c r="BB18">
        <v>2</v>
      </c>
      <c r="BC18">
        <v>29</v>
      </c>
      <c r="BD18">
        <v>3</v>
      </c>
      <c r="BE18">
        <v>0.5</v>
      </c>
      <c r="BF18">
        <v>1871.98838305446</v>
      </c>
      <c r="BG18">
        <v>3.5058528246656699</v>
      </c>
      <c r="BH18">
        <v>5731.6275896831403</v>
      </c>
      <c r="BI18">
        <v>1.9145085607843899</v>
      </c>
      <c r="BJ18">
        <v>284.72150568121401</v>
      </c>
      <c r="BK18">
        <v>1.50809171313665</v>
      </c>
      <c r="BL18">
        <v>447.01405304591401</v>
      </c>
      <c r="BM18">
        <v>3.25807291480813</v>
      </c>
      <c r="BN18">
        <v>67.3</v>
      </c>
      <c r="BO18">
        <v>7.4499999999999997E-2</v>
      </c>
      <c r="BP18">
        <v>4.9675506865398802E-2</v>
      </c>
      <c r="BQ18">
        <v>4.2306315851591982</v>
      </c>
      <c r="BR18">
        <v>1</v>
      </c>
      <c r="BS18" s="2">
        <v>43229</v>
      </c>
      <c r="BT18">
        <v>3.0088980150581799</v>
      </c>
      <c r="BU18" t="s">
        <v>23</v>
      </c>
      <c r="BY18" s="2">
        <v>43978</v>
      </c>
      <c r="BZ18">
        <v>12</v>
      </c>
      <c r="CA18">
        <v>2</v>
      </c>
    </row>
    <row r="19" spans="2:92" x14ac:dyDescent="0.25">
      <c r="B19" s="1" t="s">
        <v>39</v>
      </c>
      <c r="C19" s="2">
        <v>42821</v>
      </c>
      <c r="D19">
        <v>2</v>
      </c>
      <c r="E19" s="3">
        <v>28</v>
      </c>
      <c r="F19">
        <v>2.5</v>
      </c>
      <c r="G19">
        <v>0.5</v>
      </c>
      <c r="T19">
        <v>1</v>
      </c>
      <c r="U19" s="2">
        <v>43528</v>
      </c>
      <c r="V19">
        <v>1.9356605065024</v>
      </c>
      <c r="W19" t="s">
        <v>23</v>
      </c>
      <c r="AZ19" s="9" t="s">
        <v>29</v>
      </c>
      <c r="BA19" s="2">
        <v>43108</v>
      </c>
      <c r="BB19">
        <v>2</v>
      </c>
      <c r="BC19">
        <v>29</v>
      </c>
      <c r="BD19">
        <v>2</v>
      </c>
      <c r="BE19">
        <v>0.5</v>
      </c>
      <c r="BF19">
        <v>2317.0393015790801</v>
      </c>
      <c r="BG19">
        <v>2.3724815832932702</v>
      </c>
      <c r="BH19">
        <v>7246.9748133313997</v>
      </c>
      <c r="BI19">
        <v>1.2534978781005299</v>
      </c>
      <c r="BJ19">
        <v>537.42856749790803</v>
      </c>
      <c r="BK19">
        <v>0.48129774824604599</v>
      </c>
      <c r="BL19">
        <v>253.11253409895301</v>
      </c>
      <c r="BM19">
        <v>0.42568163718258401</v>
      </c>
      <c r="BN19">
        <v>48.582999999999998</v>
      </c>
      <c r="BO19">
        <v>4.0754000000000001</v>
      </c>
      <c r="BP19">
        <v>7.4159022397768573E-2</v>
      </c>
      <c r="BQ19">
        <v>11.062070425826072</v>
      </c>
      <c r="BR19">
        <v>1</v>
      </c>
      <c r="BS19" s="2">
        <v>43494</v>
      </c>
      <c r="BT19">
        <v>1.05681040383299</v>
      </c>
      <c r="BU19" t="s">
        <v>23</v>
      </c>
      <c r="BY19" s="2">
        <v>43844</v>
      </c>
      <c r="BZ19">
        <v>9</v>
      </c>
      <c r="CA19">
        <v>1</v>
      </c>
      <c r="CB19">
        <v>21</v>
      </c>
    </row>
    <row r="20" spans="2:92" x14ac:dyDescent="0.25">
      <c r="B20" s="1" t="s">
        <v>41</v>
      </c>
      <c r="C20" s="2">
        <v>43293</v>
      </c>
      <c r="D20">
        <v>2</v>
      </c>
      <c r="E20" s="3">
        <v>28</v>
      </c>
      <c r="F20">
        <v>2</v>
      </c>
      <c r="G20">
        <v>0.5</v>
      </c>
      <c r="H20">
        <v>2569.1341445800699</v>
      </c>
      <c r="I20">
        <v>0.87379046694837703</v>
      </c>
      <c r="J20">
        <v>5980.8301797572103</v>
      </c>
      <c r="K20">
        <v>1.2725746975235399</v>
      </c>
      <c r="L20" s="4">
        <v>267.63010611498402</v>
      </c>
      <c r="M20">
        <v>4.7644963851085302</v>
      </c>
      <c r="N20" s="4">
        <v>1146.8742141191599</v>
      </c>
      <c r="O20">
        <v>0.43094542314501499</v>
      </c>
      <c r="P20" s="4">
        <v>160.87</v>
      </c>
      <c r="Q20">
        <v>0.62899000000000005</v>
      </c>
      <c r="R20" s="4">
        <v>4.4747986160986158E-2</v>
      </c>
      <c r="S20" s="4">
        <v>1.6636421092496054</v>
      </c>
      <c r="T20">
        <v>1</v>
      </c>
      <c r="U20" s="2">
        <v>43705</v>
      </c>
      <c r="V20">
        <v>1.1279945242984299</v>
      </c>
      <c r="W20" t="s">
        <v>23</v>
      </c>
      <c r="AZ20" s="9" t="s">
        <v>29</v>
      </c>
      <c r="BA20" s="2">
        <v>43108</v>
      </c>
      <c r="BB20">
        <v>2</v>
      </c>
      <c r="BC20">
        <v>29</v>
      </c>
      <c r="BD20">
        <v>2</v>
      </c>
      <c r="BE20">
        <v>0.5</v>
      </c>
      <c r="BF20">
        <v>2317.0393015790801</v>
      </c>
      <c r="BG20">
        <v>2.3724815832932702</v>
      </c>
      <c r="BH20">
        <v>7246.9748133313997</v>
      </c>
      <c r="BI20">
        <v>1.2534978781005299</v>
      </c>
      <c r="BJ20">
        <v>537.42856749790803</v>
      </c>
      <c r="BK20">
        <v>0.48129774824604599</v>
      </c>
      <c r="BL20">
        <v>253.11253409895301</v>
      </c>
      <c r="BM20">
        <v>0.42568163718258401</v>
      </c>
      <c r="BN20">
        <v>48.582999999999998</v>
      </c>
      <c r="BO20">
        <v>4.0754000000000001</v>
      </c>
      <c r="BP20">
        <v>7.4159022397768573E-2</v>
      </c>
      <c r="BQ20">
        <v>11.062070425826072</v>
      </c>
      <c r="BR20">
        <v>1</v>
      </c>
      <c r="BS20" s="2">
        <v>43494</v>
      </c>
      <c r="BT20">
        <v>1.05681040383299</v>
      </c>
      <c r="BU20" t="s">
        <v>23</v>
      </c>
      <c r="BY20" s="2">
        <v>44263</v>
      </c>
      <c r="BZ20">
        <v>13</v>
      </c>
      <c r="CA20">
        <v>2</v>
      </c>
      <c r="CB20">
        <v>14</v>
      </c>
    </row>
    <row r="21" spans="2:92" x14ac:dyDescent="0.25">
      <c r="B21" s="1" t="s">
        <v>82</v>
      </c>
      <c r="C21" s="2">
        <v>42969</v>
      </c>
      <c r="E21" s="3">
        <v>26</v>
      </c>
      <c r="F21">
        <v>4.5</v>
      </c>
      <c r="G21">
        <v>1</v>
      </c>
      <c r="T21" s="3">
        <v>1</v>
      </c>
      <c r="U21" s="2">
        <v>43374</v>
      </c>
      <c r="V21" s="1" t="s">
        <v>94</v>
      </c>
      <c r="W21" t="s">
        <v>97</v>
      </c>
      <c r="X21">
        <v>1</v>
      </c>
      <c r="Y21" s="2">
        <v>42969</v>
      </c>
      <c r="Z21">
        <v>1.0376454483230699</v>
      </c>
      <c r="AZ21" s="9" t="s">
        <v>29</v>
      </c>
      <c r="BA21" s="2">
        <v>43108</v>
      </c>
      <c r="BB21">
        <v>2</v>
      </c>
      <c r="BC21">
        <v>29</v>
      </c>
      <c r="BD21">
        <v>2</v>
      </c>
      <c r="BE21">
        <v>0.5</v>
      </c>
      <c r="BF21">
        <v>2317.0393015790801</v>
      </c>
      <c r="BG21">
        <v>2.3724815832932702</v>
      </c>
      <c r="BH21">
        <v>7246.9748133313997</v>
      </c>
      <c r="BI21">
        <v>1.2534978781005299</v>
      </c>
      <c r="BJ21">
        <v>537.42856749790803</v>
      </c>
      <c r="BK21">
        <v>0.48129774824604599</v>
      </c>
      <c r="BL21">
        <v>253.11253409895301</v>
      </c>
      <c r="BM21">
        <v>0.42568163718258401</v>
      </c>
      <c r="BN21">
        <v>48.582999999999998</v>
      </c>
      <c r="BO21">
        <v>4.0754000000000001</v>
      </c>
      <c r="BP21">
        <v>7.4159022397768573E-2</v>
      </c>
      <c r="BQ21">
        <v>11.062070425826072</v>
      </c>
      <c r="BR21">
        <v>1</v>
      </c>
      <c r="BS21" s="2">
        <v>43494</v>
      </c>
      <c r="BT21">
        <v>1.05681040383299</v>
      </c>
      <c r="BU21" t="s">
        <v>23</v>
      </c>
      <c r="BY21" s="2">
        <v>44671</v>
      </c>
      <c r="BZ21">
        <v>15</v>
      </c>
      <c r="CA21">
        <v>2</v>
      </c>
      <c r="CB21">
        <v>17</v>
      </c>
    </row>
    <row r="22" spans="2:92" x14ac:dyDescent="0.25">
      <c r="B22" s="1" t="s">
        <v>42</v>
      </c>
      <c r="C22" s="2">
        <v>42704</v>
      </c>
      <c r="D22">
        <v>2</v>
      </c>
      <c r="E22" s="3">
        <v>28</v>
      </c>
      <c r="F22">
        <v>0.5</v>
      </c>
      <c r="G22">
        <v>0.5</v>
      </c>
      <c r="H22">
        <v>3006.8566161589501</v>
      </c>
      <c r="I22">
        <v>6.3823978294633399</v>
      </c>
      <c r="J22">
        <v>8095.6543798631601</v>
      </c>
      <c r="K22">
        <v>2.47421405590182</v>
      </c>
      <c r="L22" s="4">
        <v>342.913289495355</v>
      </c>
      <c r="M22">
        <v>2.42404561435055</v>
      </c>
      <c r="N22" s="4">
        <v>938.00903870654201</v>
      </c>
      <c r="O22">
        <v>2.56717437482691</v>
      </c>
      <c r="P22" s="4">
        <v>92.41</v>
      </c>
      <c r="Q22">
        <v>1.6669</v>
      </c>
      <c r="R22" s="4">
        <v>4.2357698760992712E-2</v>
      </c>
      <c r="S22" s="4">
        <v>3.7107811870506979</v>
      </c>
      <c r="T22">
        <v>1</v>
      </c>
      <c r="U22" s="2">
        <v>43808</v>
      </c>
      <c r="V22">
        <v>3.0225872689938398</v>
      </c>
      <c r="W22" t="s">
        <v>23</v>
      </c>
      <c r="AZ22" s="9" t="s">
        <v>30</v>
      </c>
      <c r="BA22" s="2">
        <v>42219</v>
      </c>
      <c r="BB22">
        <v>2</v>
      </c>
      <c r="BC22">
        <v>27</v>
      </c>
      <c r="BD22">
        <v>1</v>
      </c>
      <c r="BE22">
        <v>0.5</v>
      </c>
      <c r="BF22">
        <v>3631.2131453995498</v>
      </c>
      <c r="BG22">
        <v>2.1291827628465998</v>
      </c>
      <c r="BH22">
        <v>12683.2538853679</v>
      </c>
      <c r="BI22">
        <v>5.1190149732615398</v>
      </c>
      <c r="BJ22">
        <v>510.11541989150697</v>
      </c>
      <c r="BK22">
        <v>2.8556070720445401</v>
      </c>
      <c r="BL22">
        <v>852.94171338756098</v>
      </c>
      <c r="BM22">
        <v>6.6297219055850096</v>
      </c>
      <c r="BN22">
        <v>97.8</v>
      </c>
      <c r="BO22">
        <v>3.92</v>
      </c>
      <c r="BP22">
        <v>4.0219601728544142E-2</v>
      </c>
      <c r="BQ22">
        <v>5.2159040888702144</v>
      </c>
      <c r="BR22">
        <v>1</v>
      </c>
      <c r="BS22" s="2">
        <v>42634</v>
      </c>
      <c r="BT22">
        <v>1.1362080766598199</v>
      </c>
      <c r="BU22" t="s">
        <v>23</v>
      </c>
      <c r="BY22" s="2">
        <v>42968</v>
      </c>
      <c r="BZ22">
        <v>4.5</v>
      </c>
      <c r="CA22">
        <v>1</v>
      </c>
      <c r="CB22">
        <v>26</v>
      </c>
    </row>
    <row r="23" spans="2:92" x14ac:dyDescent="0.25">
      <c r="B23" s="1" t="s">
        <v>43</v>
      </c>
      <c r="C23" s="2">
        <v>43026</v>
      </c>
      <c r="D23">
        <v>2</v>
      </c>
      <c r="E23" s="3">
        <v>29</v>
      </c>
      <c r="F23" t="s">
        <v>32</v>
      </c>
      <c r="G23">
        <v>0.5</v>
      </c>
      <c r="H23">
        <v>4149.4867651781597</v>
      </c>
      <c r="I23">
        <v>2.1664447317407398</v>
      </c>
      <c r="J23">
        <v>8078.9204541824602</v>
      </c>
      <c r="K23">
        <v>1.2177152502423101</v>
      </c>
      <c r="L23" s="4">
        <v>309.43420374995497</v>
      </c>
      <c r="M23">
        <v>5.1467122015188597E-2</v>
      </c>
      <c r="N23">
        <v>400.833324860598</v>
      </c>
      <c r="O23">
        <v>1.51191793297564</v>
      </c>
      <c r="P23">
        <v>55.677</v>
      </c>
      <c r="Q23">
        <v>1.7395</v>
      </c>
      <c r="R23" s="4">
        <v>3.8301429690369183E-2</v>
      </c>
      <c r="S23" s="4">
        <v>5.5576666082934603</v>
      </c>
      <c r="T23">
        <v>1</v>
      </c>
      <c r="U23" s="2">
        <v>43416</v>
      </c>
      <c r="V23">
        <v>1.06776180698152</v>
      </c>
      <c r="W23" t="s">
        <v>23</v>
      </c>
      <c r="AZ23" s="9" t="s">
        <v>30</v>
      </c>
      <c r="BA23" s="2">
        <v>42219</v>
      </c>
      <c r="BB23">
        <v>2</v>
      </c>
      <c r="BC23">
        <v>27</v>
      </c>
      <c r="BD23">
        <v>1</v>
      </c>
      <c r="BE23">
        <v>0.5</v>
      </c>
      <c r="BF23">
        <v>3631.2131453995498</v>
      </c>
      <c r="BG23">
        <v>2.1291827628465998</v>
      </c>
      <c r="BH23">
        <v>12683.2538853679</v>
      </c>
      <c r="BI23">
        <v>5.1190149732615398</v>
      </c>
      <c r="BJ23">
        <v>510.11541989150697</v>
      </c>
      <c r="BK23">
        <v>2.8556070720445401</v>
      </c>
      <c r="BL23">
        <v>852.94171338756098</v>
      </c>
      <c r="BM23">
        <v>6.6297219055850096</v>
      </c>
      <c r="BN23">
        <v>97.8</v>
      </c>
      <c r="BO23">
        <v>3.92</v>
      </c>
      <c r="BP23">
        <v>4.0219601728544142E-2</v>
      </c>
      <c r="BQ23">
        <v>5.2159040888702144</v>
      </c>
      <c r="BR23">
        <v>1</v>
      </c>
      <c r="BS23" s="2">
        <v>42634</v>
      </c>
      <c r="BT23">
        <v>1.1362080766598199</v>
      </c>
      <c r="BU23" t="s">
        <v>23</v>
      </c>
      <c r="BY23" s="2">
        <v>43368</v>
      </c>
      <c r="BZ23">
        <v>6</v>
      </c>
      <c r="CA23">
        <v>1</v>
      </c>
      <c r="CB23">
        <v>21</v>
      </c>
    </row>
    <row r="24" spans="2:92" x14ac:dyDescent="0.25">
      <c r="B24" s="1" t="s">
        <v>44</v>
      </c>
      <c r="C24" s="2">
        <v>43181</v>
      </c>
      <c r="D24">
        <v>2</v>
      </c>
      <c r="E24" s="3">
        <v>24</v>
      </c>
      <c r="F24">
        <v>2.5</v>
      </c>
      <c r="G24">
        <v>0.5</v>
      </c>
      <c r="H24">
        <v>4407.2313394881103</v>
      </c>
      <c r="I24">
        <v>0.28914671262161401</v>
      </c>
      <c r="J24">
        <v>10160.155449350001</v>
      </c>
      <c r="K24">
        <v>5.7539447867598801</v>
      </c>
      <c r="L24" s="4">
        <v>596.24616048395399</v>
      </c>
      <c r="M24">
        <v>3.5768179328266401</v>
      </c>
      <c r="N24" s="4">
        <v>520.41767738107797</v>
      </c>
      <c r="O24">
        <v>1.55487588115284</v>
      </c>
      <c r="P24" s="4">
        <v>82.680999999999997</v>
      </c>
      <c r="Q24">
        <v>1.8242</v>
      </c>
      <c r="R24" s="4">
        <v>5.8684747832485083E-2</v>
      </c>
      <c r="S24" s="4">
        <v>7.2114048026022184</v>
      </c>
      <c r="T24">
        <v>1</v>
      </c>
      <c r="U24" s="2">
        <v>43530</v>
      </c>
      <c r="V24">
        <v>0.95550992470910301</v>
      </c>
      <c r="W24" t="s">
        <v>23</v>
      </c>
      <c r="AZ24" s="9" t="s">
        <v>30</v>
      </c>
      <c r="BA24" s="2">
        <v>42219</v>
      </c>
      <c r="BB24">
        <v>2</v>
      </c>
      <c r="BC24">
        <v>27</v>
      </c>
      <c r="BD24">
        <v>1</v>
      </c>
      <c r="BE24">
        <v>0.5</v>
      </c>
      <c r="BF24">
        <v>3631.2131453995498</v>
      </c>
      <c r="BG24">
        <v>2.1291827628465998</v>
      </c>
      <c r="BH24">
        <v>12683.2538853679</v>
      </c>
      <c r="BI24">
        <v>5.1190149732615398</v>
      </c>
      <c r="BJ24">
        <v>510.11541989150697</v>
      </c>
      <c r="BK24">
        <v>2.8556070720445401</v>
      </c>
      <c r="BL24">
        <v>852.94171338756098</v>
      </c>
      <c r="BM24">
        <v>6.6297219055850096</v>
      </c>
      <c r="BN24">
        <v>97.8</v>
      </c>
      <c r="BO24">
        <v>3.92</v>
      </c>
      <c r="BP24">
        <v>4.0219601728544142E-2</v>
      </c>
      <c r="BQ24">
        <v>5.2159040888702144</v>
      </c>
      <c r="BR24">
        <v>1</v>
      </c>
      <c r="BS24" s="2">
        <v>42634</v>
      </c>
      <c r="BT24">
        <v>1.1362080766598199</v>
      </c>
      <c r="BU24" t="s">
        <v>23</v>
      </c>
      <c r="BY24" s="2">
        <v>43795</v>
      </c>
      <c r="BZ24">
        <v>6</v>
      </c>
      <c r="CA24">
        <v>1</v>
      </c>
      <c r="CB24">
        <v>17</v>
      </c>
    </row>
    <row r="25" spans="2:92" x14ac:dyDescent="0.25">
      <c r="B25" s="1" t="s">
        <v>45</v>
      </c>
      <c r="C25" s="2">
        <v>42460</v>
      </c>
      <c r="D25">
        <v>2</v>
      </c>
      <c r="E25" s="3">
        <v>27</v>
      </c>
      <c r="F25">
        <v>2.5</v>
      </c>
      <c r="G25">
        <v>0.5</v>
      </c>
      <c r="H25">
        <v>3847.4906010315399</v>
      </c>
      <c r="I25">
        <v>0.21224301225466299</v>
      </c>
      <c r="J25">
        <v>11380.331840999501</v>
      </c>
      <c r="K25">
        <v>0.89047682086477398</v>
      </c>
      <c r="L25">
        <v>929.82612501982101</v>
      </c>
      <c r="M25">
        <v>1.56653489273063</v>
      </c>
      <c r="N25" s="4">
        <v>642.90066989992704</v>
      </c>
      <c r="O25">
        <v>2.23602122607367</v>
      </c>
      <c r="P25">
        <v>59.084000000000003</v>
      </c>
      <c r="Q25">
        <v>1.4336</v>
      </c>
      <c r="R25">
        <v>8.1704658353631734E-2</v>
      </c>
      <c r="S25">
        <v>15.737359099245497</v>
      </c>
      <c r="T25">
        <v>1</v>
      </c>
      <c r="U25" s="2">
        <v>43955</v>
      </c>
      <c r="V25">
        <v>4.0930869267624903</v>
      </c>
      <c r="W25" t="s">
        <v>23</v>
      </c>
      <c r="AZ25" s="9" t="s">
        <v>33</v>
      </c>
      <c r="BA25" s="2">
        <v>41988</v>
      </c>
      <c r="BB25">
        <v>2</v>
      </c>
      <c r="BC25">
        <v>29</v>
      </c>
      <c r="BD25">
        <v>0.5</v>
      </c>
      <c r="BE25">
        <v>0.5</v>
      </c>
      <c r="BF25">
        <v>2645.5398204569401</v>
      </c>
      <c r="BG25">
        <v>0.95739129841869497</v>
      </c>
      <c r="BH25">
        <v>6661.7935382734904</v>
      </c>
      <c r="BI25">
        <v>0.72231257985034003</v>
      </c>
      <c r="BJ25">
        <v>454.70446559037902</v>
      </c>
      <c r="BK25">
        <v>1.71294460625668</v>
      </c>
      <c r="BL25">
        <v>372.86121392602797</v>
      </c>
      <c r="BM25">
        <v>3.0914573079880801E-2</v>
      </c>
      <c r="BN25">
        <v>32.9</v>
      </c>
      <c r="BO25">
        <v>8.31</v>
      </c>
      <c r="BP25">
        <v>6.825556255653982E-2</v>
      </c>
      <c r="BQ25">
        <v>13.820804425239483</v>
      </c>
      <c r="BR25">
        <v>1</v>
      </c>
      <c r="BS25" s="2">
        <v>44902</v>
      </c>
      <c r="BT25">
        <v>7.9780971937029399</v>
      </c>
      <c r="BU25" t="s">
        <v>23</v>
      </c>
      <c r="BY25" s="2">
        <v>44902</v>
      </c>
      <c r="BZ25">
        <v>4.5</v>
      </c>
      <c r="CA25">
        <v>1</v>
      </c>
      <c r="CB25">
        <v>24</v>
      </c>
      <c r="CE25">
        <v>9920</v>
      </c>
      <c r="CG25" s="4">
        <v>569</v>
      </c>
      <c r="CI25">
        <v>481</v>
      </c>
      <c r="CK25">
        <v>71.5</v>
      </c>
      <c r="CM25" s="4">
        <v>5.7358870967741934E-2</v>
      </c>
      <c r="CN25" s="4">
        <v>7.9580419580419584</v>
      </c>
    </row>
    <row r="26" spans="2:92" x14ac:dyDescent="0.25">
      <c r="B26" s="1" t="s">
        <v>46</v>
      </c>
      <c r="C26" s="2">
        <v>42513</v>
      </c>
      <c r="D26">
        <v>2</v>
      </c>
      <c r="E26" s="3">
        <v>27</v>
      </c>
      <c r="F26">
        <v>7.5</v>
      </c>
      <c r="G26">
        <v>1</v>
      </c>
      <c r="H26">
        <v>3606.1986006342299</v>
      </c>
      <c r="I26">
        <v>4.2820208827980304</v>
      </c>
      <c r="J26">
        <v>9738.4235346814403</v>
      </c>
      <c r="K26">
        <v>3.8226691053121602</v>
      </c>
      <c r="L26" s="4">
        <v>427.86187761526003</v>
      </c>
      <c r="M26">
        <v>0.55156228605665003</v>
      </c>
      <c r="N26" s="4">
        <v>1103.53080468295</v>
      </c>
      <c r="O26">
        <v>7.3041924654618402</v>
      </c>
      <c r="P26" s="4">
        <v>101.15</v>
      </c>
      <c r="Q26">
        <v>0.23207</v>
      </c>
      <c r="R26" s="4">
        <v>4.3935435349624692E-2</v>
      </c>
      <c r="S26" s="4">
        <v>4.2299740742981706</v>
      </c>
      <c r="T26">
        <v>1</v>
      </c>
      <c r="U26" s="2">
        <v>42836</v>
      </c>
      <c r="V26">
        <v>0.88432580424366902</v>
      </c>
      <c r="W26" t="s">
        <v>23</v>
      </c>
      <c r="AZ26" s="9" t="s">
        <v>34</v>
      </c>
      <c r="BA26" s="2">
        <v>43003</v>
      </c>
      <c r="BB26">
        <v>2</v>
      </c>
      <c r="BC26">
        <v>28</v>
      </c>
      <c r="BD26">
        <v>2.5</v>
      </c>
      <c r="BE26">
        <v>0.5</v>
      </c>
      <c r="BR26">
        <v>1</v>
      </c>
      <c r="BS26" s="2">
        <v>43740</v>
      </c>
      <c r="BT26">
        <v>2.0177960301163602</v>
      </c>
      <c r="BU26" t="s">
        <v>23</v>
      </c>
      <c r="BY26" s="2">
        <v>44154</v>
      </c>
      <c r="BZ26">
        <v>8</v>
      </c>
      <c r="CA26">
        <v>1</v>
      </c>
      <c r="CB26">
        <v>24</v>
      </c>
    </row>
    <row r="27" spans="2:92" x14ac:dyDescent="0.25">
      <c r="B27" s="1" t="s">
        <v>47</v>
      </c>
      <c r="C27" s="2">
        <v>42676</v>
      </c>
      <c r="D27">
        <v>2</v>
      </c>
      <c r="E27" s="3">
        <v>27</v>
      </c>
      <c r="F27">
        <v>2.5</v>
      </c>
      <c r="G27">
        <v>0.5</v>
      </c>
      <c r="H27">
        <v>2157.51217857453</v>
      </c>
      <c r="I27">
        <v>1.8464798855046101</v>
      </c>
      <c r="J27">
        <v>6241.2699821039696</v>
      </c>
      <c r="K27">
        <v>1.82651949110529</v>
      </c>
      <c r="L27" s="4">
        <v>277.90411943582501</v>
      </c>
      <c r="M27">
        <v>2.1204666687486702</v>
      </c>
      <c r="N27" s="4">
        <v>577.05929794027804</v>
      </c>
      <c r="O27">
        <v>7.5252549837698995E-2</v>
      </c>
      <c r="P27" s="4">
        <v>74.001999999999995</v>
      </c>
      <c r="Q27">
        <v>0</v>
      </c>
      <c r="R27" s="4">
        <v>4.4526854347381052E-2</v>
      </c>
      <c r="S27" s="4">
        <v>3.7553595772523045</v>
      </c>
      <c r="T27">
        <v>1</v>
      </c>
      <c r="U27" s="2">
        <v>43035</v>
      </c>
      <c r="V27">
        <v>0.98288843258042402</v>
      </c>
      <c r="W27" t="s">
        <v>23</v>
      </c>
      <c r="AZ27" s="9" t="s">
        <v>34</v>
      </c>
      <c r="BA27" s="2">
        <v>43003</v>
      </c>
      <c r="BB27">
        <v>2</v>
      </c>
      <c r="BC27">
        <v>28</v>
      </c>
      <c r="BD27">
        <v>2.5</v>
      </c>
      <c r="BE27">
        <v>0.5</v>
      </c>
      <c r="BR27">
        <v>1</v>
      </c>
      <c r="BS27" s="2">
        <v>43740</v>
      </c>
      <c r="BT27">
        <v>2.0177960301163602</v>
      </c>
      <c r="BU27" t="s">
        <v>23</v>
      </c>
      <c r="BY27" s="2">
        <v>44494</v>
      </c>
      <c r="BZ27">
        <v>9</v>
      </c>
      <c r="CA27">
        <v>1</v>
      </c>
      <c r="CB27">
        <v>22</v>
      </c>
    </row>
    <row r="28" spans="2:92" x14ac:dyDescent="0.25">
      <c r="B28" s="1" t="s">
        <v>48</v>
      </c>
      <c r="C28" s="2">
        <v>42913</v>
      </c>
      <c r="D28">
        <v>2</v>
      </c>
      <c r="E28" s="3">
        <v>29</v>
      </c>
      <c r="F28">
        <v>2.5</v>
      </c>
      <c r="G28">
        <v>0.5</v>
      </c>
      <c r="T28">
        <v>1</v>
      </c>
      <c r="U28" s="2">
        <v>43635</v>
      </c>
      <c r="V28">
        <v>1.9767282683093801</v>
      </c>
      <c r="W28" t="s">
        <v>23</v>
      </c>
      <c r="AZ28" s="9" t="s">
        <v>35</v>
      </c>
      <c r="BA28" s="2">
        <v>42845</v>
      </c>
      <c r="BB28">
        <v>2</v>
      </c>
      <c r="BC28">
        <v>26</v>
      </c>
      <c r="BD28">
        <v>4</v>
      </c>
      <c r="BE28">
        <v>0.5</v>
      </c>
      <c r="BR28">
        <v>1</v>
      </c>
      <c r="BS28" s="2">
        <v>44664</v>
      </c>
      <c r="BT28">
        <v>4.9801505817932901</v>
      </c>
      <c r="BU28" t="s">
        <v>23</v>
      </c>
      <c r="BY28" s="2">
        <v>44664</v>
      </c>
      <c r="BZ28">
        <v>4.5</v>
      </c>
      <c r="CA28">
        <v>1</v>
      </c>
      <c r="CB28">
        <v>23</v>
      </c>
    </row>
    <row r="29" spans="2:92" x14ac:dyDescent="0.25">
      <c r="B29" s="1" t="s">
        <v>49</v>
      </c>
      <c r="C29" s="2">
        <v>41963</v>
      </c>
      <c r="D29">
        <v>2</v>
      </c>
      <c r="E29" s="3">
        <v>26</v>
      </c>
      <c r="F29">
        <v>1.5</v>
      </c>
      <c r="G29">
        <v>0.5</v>
      </c>
      <c r="H29">
        <v>2051.0522248993002</v>
      </c>
      <c r="I29">
        <v>0.42962219104194699</v>
      </c>
      <c r="J29">
        <v>5032.8796159413596</v>
      </c>
      <c r="K29">
        <v>0.68251394771115004</v>
      </c>
      <c r="L29" s="4">
        <v>350.72724818871802</v>
      </c>
      <c r="M29">
        <v>3.67999694683615</v>
      </c>
      <c r="N29">
        <v>325.67327635740702</v>
      </c>
      <c r="O29">
        <v>0.77099002455244903</v>
      </c>
      <c r="P29">
        <v>45.5</v>
      </c>
      <c r="Q29">
        <v>0.25600000000000001</v>
      </c>
      <c r="R29" s="4">
        <v>6.9687192015841073E-2</v>
      </c>
      <c r="S29" s="4">
        <v>7.7082911689828135</v>
      </c>
      <c r="T29">
        <v>1</v>
      </c>
      <c r="U29" s="2">
        <v>42711</v>
      </c>
      <c r="V29">
        <v>2.0479123887748099</v>
      </c>
      <c r="W29" t="s">
        <v>23</v>
      </c>
      <c r="AZ29" s="14" t="s">
        <v>81</v>
      </c>
      <c r="BA29" s="2">
        <v>43563</v>
      </c>
      <c r="BC29">
        <v>27</v>
      </c>
      <c r="BD29">
        <v>2.5</v>
      </c>
      <c r="BE29">
        <v>0.5</v>
      </c>
      <c r="BR29">
        <v>1</v>
      </c>
      <c r="BS29" s="2">
        <v>44272</v>
      </c>
      <c r="BT29">
        <v>2.9678302532512002</v>
      </c>
      <c r="BU29" t="s">
        <v>97</v>
      </c>
      <c r="BV29">
        <v>1</v>
      </c>
      <c r="BW29" s="2">
        <v>43563</v>
      </c>
      <c r="BX29">
        <v>1.0266940451745401</v>
      </c>
      <c r="BY29" s="2">
        <v>44272</v>
      </c>
      <c r="BZ29">
        <v>2.5</v>
      </c>
      <c r="CA29">
        <v>0.5</v>
      </c>
      <c r="CB29">
        <v>24</v>
      </c>
    </row>
    <row r="30" spans="2:92" x14ac:dyDescent="0.25">
      <c r="B30" s="1" t="s">
        <v>50</v>
      </c>
      <c r="C30" s="2">
        <v>42067</v>
      </c>
      <c r="D30">
        <v>2</v>
      </c>
      <c r="E30" s="3">
        <v>28</v>
      </c>
      <c r="F30">
        <v>3.5</v>
      </c>
      <c r="G30">
        <v>0.5</v>
      </c>
      <c r="T30">
        <v>1</v>
      </c>
      <c r="U30" s="2">
        <v>42803</v>
      </c>
      <c r="V30">
        <v>2.0150581793292299</v>
      </c>
      <c r="W30" t="s">
        <v>23</v>
      </c>
      <c r="AZ30" s="9" t="s">
        <v>36</v>
      </c>
      <c r="BA30" s="2">
        <v>43081</v>
      </c>
      <c r="BB30">
        <v>2</v>
      </c>
      <c r="BC30">
        <v>24</v>
      </c>
      <c r="BD30">
        <v>2.5</v>
      </c>
      <c r="BE30">
        <v>0.5</v>
      </c>
      <c r="BF30">
        <v>6750.0900146206404</v>
      </c>
      <c r="BG30">
        <v>3.8844576830205999</v>
      </c>
      <c r="BH30">
        <v>14267.0579242249</v>
      </c>
      <c r="BI30">
        <v>2.4766795011567099E-2</v>
      </c>
      <c r="BJ30">
        <v>619.13827651999202</v>
      </c>
      <c r="BK30">
        <v>1.84610583755429</v>
      </c>
      <c r="BL30">
        <v>2067.5020049933</v>
      </c>
      <c r="BM30">
        <v>5.4568299953817396</v>
      </c>
      <c r="BN30">
        <v>320.62</v>
      </c>
      <c r="BO30">
        <v>9.1583000000000006</v>
      </c>
      <c r="BP30">
        <v>4.3396352619324528E-2</v>
      </c>
      <c r="BQ30">
        <v>1.9310656743808621</v>
      </c>
      <c r="BR30">
        <v>1</v>
      </c>
      <c r="BS30" s="2">
        <v>43451</v>
      </c>
      <c r="BT30">
        <v>1.01300479123888</v>
      </c>
      <c r="BU30" t="s">
        <v>23</v>
      </c>
      <c r="BY30" s="2">
        <v>43451</v>
      </c>
      <c r="BZ30">
        <v>7</v>
      </c>
      <c r="CA30">
        <v>1</v>
      </c>
      <c r="CB30">
        <v>23</v>
      </c>
    </row>
    <row r="31" spans="2:92" x14ac:dyDescent="0.25">
      <c r="B31" s="1" t="s">
        <v>51</v>
      </c>
      <c r="C31" s="2">
        <v>42088</v>
      </c>
      <c r="D31">
        <v>2</v>
      </c>
      <c r="E31" s="3">
        <v>29</v>
      </c>
      <c r="F31">
        <v>7</v>
      </c>
      <c r="G31">
        <v>1</v>
      </c>
      <c r="T31">
        <v>1</v>
      </c>
      <c r="U31" s="2">
        <v>43186</v>
      </c>
      <c r="V31">
        <v>3.00616016427105</v>
      </c>
      <c r="W31" t="s">
        <v>23</v>
      </c>
      <c r="AZ31" s="14" t="s">
        <v>84</v>
      </c>
      <c r="BA31" s="2">
        <v>43682</v>
      </c>
      <c r="BC31">
        <v>27</v>
      </c>
      <c r="BD31">
        <v>3</v>
      </c>
      <c r="BE31">
        <v>0.5</v>
      </c>
      <c r="BR31">
        <v>1</v>
      </c>
      <c r="BS31" s="2">
        <v>44088</v>
      </c>
      <c r="BT31">
        <v>3.1622176591375801</v>
      </c>
      <c r="BU31" t="s">
        <v>98</v>
      </c>
      <c r="BV31">
        <v>1</v>
      </c>
      <c r="BW31" s="2">
        <v>43682</v>
      </c>
      <c r="BX31">
        <v>2.0506502395619401</v>
      </c>
      <c r="BY31" s="2">
        <v>44382</v>
      </c>
      <c r="BZ31">
        <v>6</v>
      </c>
      <c r="CA31">
        <v>1</v>
      </c>
      <c r="CB31">
        <v>26</v>
      </c>
    </row>
    <row r="32" spans="2:92" x14ac:dyDescent="0.25">
      <c r="B32" s="1" t="s">
        <v>52</v>
      </c>
      <c r="C32" s="2">
        <v>42137</v>
      </c>
      <c r="D32">
        <v>2</v>
      </c>
      <c r="E32" s="3">
        <v>26</v>
      </c>
      <c r="F32">
        <v>1</v>
      </c>
      <c r="G32">
        <v>0.5</v>
      </c>
      <c r="T32">
        <v>1</v>
      </c>
      <c r="U32" s="2">
        <v>43593</v>
      </c>
      <c r="V32">
        <v>3.9863107460643401</v>
      </c>
      <c r="W32" t="s">
        <v>23</v>
      </c>
      <c r="AZ32" s="14" t="s">
        <v>37</v>
      </c>
      <c r="BA32" s="2">
        <v>43185</v>
      </c>
      <c r="BB32">
        <v>2</v>
      </c>
      <c r="BC32" s="3">
        <v>26</v>
      </c>
      <c r="BD32">
        <v>1</v>
      </c>
      <c r="BE32">
        <v>0.5</v>
      </c>
      <c r="BF32">
        <v>3850.7270706582999</v>
      </c>
      <c r="BG32">
        <v>4.8150987057303896</v>
      </c>
      <c r="BH32">
        <v>9360.0443195085099</v>
      </c>
      <c r="BI32">
        <v>3.9974465154132099</v>
      </c>
      <c r="BJ32" s="4">
        <v>485.36093228524402</v>
      </c>
      <c r="BK32">
        <v>0.88177103154997405</v>
      </c>
      <c r="BL32">
        <v>403.21927666681802</v>
      </c>
      <c r="BM32">
        <v>4.8248743794420797E-2</v>
      </c>
      <c r="BN32">
        <v>83.590999999999994</v>
      </c>
      <c r="BO32">
        <v>3.0396000000000001</v>
      </c>
      <c r="BP32" s="4">
        <v>5.185455492701449E-2</v>
      </c>
      <c r="BQ32" s="4">
        <v>5.8063778670579858</v>
      </c>
      <c r="BR32">
        <v>1</v>
      </c>
      <c r="BS32" s="2">
        <v>44265</v>
      </c>
      <c r="BT32">
        <v>2.9568788501026702</v>
      </c>
      <c r="BU32" t="s">
        <v>23</v>
      </c>
      <c r="BY32" s="2">
        <v>44649</v>
      </c>
      <c r="BZ32">
        <v>3.5</v>
      </c>
      <c r="CA32">
        <v>0.5</v>
      </c>
      <c r="CB32">
        <v>24</v>
      </c>
      <c r="CE32">
        <v>11297</v>
      </c>
      <c r="CG32" s="4">
        <v>427</v>
      </c>
      <c r="CI32" s="4">
        <v>610</v>
      </c>
      <c r="CK32" s="4">
        <v>114.9</v>
      </c>
      <c r="CM32" s="4">
        <v>3.7797645392582103E-2</v>
      </c>
      <c r="CN32" s="4">
        <v>3.7162750217580505</v>
      </c>
    </row>
    <row r="33" spans="2:92" x14ac:dyDescent="0.25">
      <c r="B33" s="1" t="s">
        <v>53</v>
      </c>
      <c r="C33" s="2">
        <v>42044</v>
      </c>
      <c r="D33">
        <v>2</v>
      </c>
      <c r="E33" s="3">
        <v>29</v>
      </c>
      <c r="F33">
        <v>1</v>
      </c>
      <c r="G33">
        <v>0.5</v>
      </c>
      <c r="T33">
        <v>1</v>
      </c>
      <c r="U33" s="2">
        <v>44232</v>
      </c>
      <c r="V33">
        <v>5.99041752224504</v>
      </c>
      <c r="W33" t="s">
        <v>23</v>
      </c>
      <c r="AZ33" s="9" t="s">
        <v>37</v>
      </c>
      <c r="BA33" s="2">
        <v>43185</v>
      </c>
      <c r="BB33">
        <v>2</v>
      </c>
      <c r="BC33" s="3">
        <v>26</v>
      </c>
      <c r="BD33">
        <v>1</v>
      </c>
      <c r="BE33">
        <v>0.5</v>
      </c>
      <c r="BF33">
        <v>3850.7270706582999</v>
      </c>
      <c r="BG33">
        <v>4.8150987057303896</v>
      </c>
      <c r="BH33">
        <v>9360.0443195085099</v>
      </c>
      <c r="BI33">
        <v>3.9974465154132099</v>
      </c>
      <c r="BJ33" s="4">
        <v>485.36093228524402</v>
      </c>
      <c r="BK33">
        <v>0.88177103154997405</v>
      </c>
      <c r="BL33">
        <v>403.21927666681802</v>
      </c>
      <c r="BM33">
        <v>4.8248743794420797E-2</v>
      </c>
      <c r="BN33">
        <v>83.590999999999994</v>
      </c>
      <c r="BO33">
        <v>3.0396000000000001</v>
      </c>
      <c r="BP33" s="4">
        <v>5.185455492701449E-2</v>
      </c>
      <c r="BQ33" s="4">
        <v>5.8063778670579858</v>
      </c>
      <c r="BR33">
        <v>1</v>
      </c>
      <c r="BS33" s="2">
        <v>44265</v>
      </c>
      <c r="BT33">
        <v>2.9568788501026702</v>
      </c>
      <c r="BU33" t="s">
        <v>23</v>
      </c>
      <c r="BY33" s="2">
        <v>44987</v>
      </c>
      <c r="BZ33">
        <v>6</v>
      </c>
      <c r="CA33">
        <v>1</v>
      </c>
      <c r="CB33">
        <v>22</v>
      </c>
    </row>
    <row r="34" spans="2:92" x14ac:dyDescent="0.25">
      <c r="B34" s="1" t="s">
        <v>54</v>
      </c>
      <c r="C34" s="2">
        <v>43333</v>
      </c>
      <c r="D34">
        <v>2</v>
      </c>
      <c r="E34" s="3">
        <v>27</v>
      </c>
      <c r="F34">
        <v>2</v>
      </c>
      <c r="G34">
        <v>0.5</v>
      </c>
      <c r="T34">
        <v>1</v>
      </c>
      <c r="U34" s="2">
        <v>45147</v>
      </c>
      <c r="V34">
        <v>4.9664613278576297</v>
      </c>
      <c r="W34" t="s">
        <v>23</v>
      </c>
      <c r="AZ34" s="14" t="s">
        <v>38</v>
      </c>
      <c r="BA34" s="2">
        <v>41946</v>
      </c>
      <c r="BB34">
        <v>2</v>
      </c>
      <c r="BC34" s="3">
        <v>27</v>
      </c>
      <c r="BD34">
        <v>2.5</v>
      </c>
      <c r="BE34">
        <v>0.5</v>
      </c>
      <c r="BJ34" s="4"/>
      <c r="BL34" s="4"/>
      <c r="BN34" s="4"/>
      <c r="BP34" s="4"/>
      <c r="BQ34" s="4"/>
      <c r="BR34">
        <v>1</v>
      </c>
      <c r="BS34" s="2">
        <v>42387</v>
      </c>
      <c r="BT34">
        <v>1.2073921971252599</v>
      </c>
      <c r="BU34" t="s">
        <v>23</v>
      </c>
      <c r="BY34" s="2">
        <v>42387</v>
      </c>
      <c r="BZ34">
        <v>6</v>
      </c>
      <c r="CA34">
        <v>1</v>
      </c>
      <c r="CB34">
        <v>28</v>
      </c>
    </row>
    <row r="35" spans="2:92" x14ac:dyDescent="0.25">
      <c r="B35" s="1" t="s">
        <v>56</v>
      </c>
      <c r="C35" s="2">
        <v>41948</v>
      </c>
      <c r="D35">
        <v>2</v>
      </c>
      <c r="E35" s="3">
        <v>28</v>
      </c>
      <c r="F35">
        <v>2.5</v>
      </c>
      <c r="G35">
        <v>0.5</v>
      </c>
      <c r="H35">
        <v>4195.7</v>
      </c>
      <c r="I35">
        <v>0.21</v>
      </c>
      <c r="J35">
        <v>10839.2825147444</v>
      </c>
      <c r="K35">
        <v>0.75559427083867103</v>
      </c>
      <c r="L35">
        <v>1309.2900734203399</v>
      </c>
      <c r="M35">
        <v>2.27170124160659</v>
      </c>
      <c r="N35">
        <v>424.79532532052798</v>
      </c>
      <c r="O35">
        <v>4.0862539917447496</v>
      </c>
      <c r="P35">
        <v>54.9</v>
      </c>
      <c r="Q35">
        <v>1.69</v>
      </c>
      <c r="R35">
        <v>0.12079121211568625</v>
      </c>
      <c r="S35">
        <v>23.848635217128233</v>
      </c>
      <c r="T35">
        <v>1</v>
      </c>
      <c r="U35" s="2">
        <v>44593</v>
      </c>
      <c r="V35">
        <v>7.2416153319644101</v>
      </c>
      <c r="W35" t="s">
        <v>23</v>
      </c>
      <c r="AZ35" s="9" t="s">
        <v>38</v>
      </c>
      <c r="BA35" s="2">
        <v>41946</v>
      </c>
      <c r="BB35">
        <v>2</v>
      </c>
      <c r="BC35" s="3">
        <v>27</v>
      </c>
      <c r="BD35">
        <v>2.5</v>
      </c>
      <c r="BE35">
        <v>0.5</v>
      </c>
      <c r="BJ35" s="4"/>
      <c r="BL35" s="4"/>
      <c r="BN35" s="4"/>
      <c r="BP35" s="4"/>
      <c r="BQ35" s="4"/>
      <c r="BR35">
        <v>1</v>
      </c>
      <c r="BS35" s="2">
        <v>42387</v>
      </c>
      <c r="BT35">
        <v>1.2073921971252599</v>
      </c>
      <c r="BU35" t="s">
        <v>23</v>
      </c>
      <c r="BY35" s="2">
        <v>42758</v>
      </c>
      <c r="BZ35">
        <v>7</v>
      </c>
      <c r="CA35">
        <v>1</v>
      </c>
      <c r="CB35">
        <v>21</v>
      </c>
    </row>
    <row r="36" spans="2:92" x14ac:dyDescent="0.25">
      <c r="B36" s="1" t="s">
        <v>57</v>
      </c>
      <c r="C36" s="2">
        <v>42585</v>
      </c>
      <c r="D36">
        <v>2</v>
      </c>
      <c r="E36" s="3">
        <v>24</v>
      </c>
      <c r="F36">
        <v>1</v>
      </c>
      <c r="G36">
        <v>0.5</v>
      </c>
      <c r="H36">
        <v>2200.1422244508699</v>
      </c>
      <c r="I36">
        <v>2.4678272372942298</v>
      </c>
      <c r="J36">
        <v>5782.4657419073001</v>
      </c>
      <c r="K36">
        <v>2.3978373686680601</v>
      </c>
      <c r="L36" s="4">
        <v>182.51580662138699</v>
      </c>
      <c r="M36">
        <v>0.54146641936859297</v>
      </c>
      <c r="N36" s="4">
        <v>578.36252533019297</v>
      </c>
      <c r="O36">
        <v>5.1788529574398199</v>
      </c>
      <c r="P36">
        <v>58.195999999999998</v>
      </c>
      <c r="Q36">
        <v>3.2480000000000002</v>
      </c>
      <c r="R36" s="4">
        <v>3.1563664147396336E-2</v>
      </c>
      <c r="S36" s="4">
        <v>3.136225971224603</v>
      </c>
      <c r="T36">
        <v>1</v>
      </c>
      <c r="U36" s="2">
        <v>43370</v>
      </c>
      <c r="V36">
        <v>2.1492128678986999</v>
      </c>
      <c r="W36" t="s">
        <v>23</v>
      </c>
      <c r="AZ36" s="9" t="s">
        <v>38</v>
      </c>
      <c r="BA36" s="2">
        <v>41946</v>
      </c>
      <c r="BB36">
        <v>2</v>
      </c>
      <c r="BC36" s="3">
        <v>27</v>
      </c>
      <c r="BD36">
        <v>2.5</v>
      </c>
      <c r="BE36">
        <v>0.5</v>
      </c>
      <c r="BJ36" s="4"/>
      <c r="BL36" s="4"/>
      <c r="BN36" s="4"/>
      <c r="BP36" s="4"/>
      <c r="BQ36" s="4"/>
      <c r="BR36">
        <v>1</v>
      </c>
      <c r="BS36" s="2">
        <v>42387</v>
      </c>
      <c r="BT36">
        <v>1.2073921971252599</v>
      </c>
      <c r="BU36" t="s">
        <v>23</v>
      </c>
      <c r="BY36" s="2">
        <v>43115</v>
      </c>
      <c r="BZ36">
        <v>5.5</v>
      </c>
      <c r="CA36">
        <v>1</v>
      </c>
      <c r="CB36">
        <v>24</v>
      </c>
    </row>
    <row r="37" spans="2:92" x14ac:dyDescent="0.25">
      <c r="B37" s="1" t="s">
        <v>58</v>
      </c>
      <c r="C37" s="2">
        <v>43124</v>
      </c>
      <c r="D37">
        <v>2</v>
      </c>
      <c r="E37" s="3">
        <v>28</v>
      </c>
      <c r="F37">
        <v>2</v>
      </c>
      <c r="G37">
        <v>0.5</v>
      </c>
      <c r="H37">
        <v>3478.8099855422201</v>
      </c>
      <c r="I37">
        <v>3.8700788171687601</v>
      </c>
      <c r="J37">
        <v>9802.9770253254592</v>
      </c>
      <c r="K37">
        <v>0.72251717526819603</v>
      </c>
      <c r="L37" s="4">
        <v>364.91576853810801</v>
      </c>
      <c r="M37">
        <v>1.08079137038513</v>
      </c>
      <c r="N37" s="4">
        <v>893.32426049173705</v>
      </c>
      <c r="O37">
        <v>3.5720305997263502</v>
      </c>
      <c r="P37" s="4">
        <v>138.59</v>
      </c>
      <c r="Q37">
        <v>1.3368</v>
      </c>
      <c r="R37" s="4">
        <v>3.7224994774074031E-2</v>
      </c>
      <c r="S37" s="4">
        <v>2.6330598783325492</v>
      </c>
      <c r="T37">
        <v>1</v>
      </c>
      <c r="U37" s="2">
        <v>44509</v>
      </c>
      <c r="V37">
        <v>3.7919233401779602</v>
      </c>
      <c r="W37" t="s">
        <v>23</v>
      </c>
      <c r="AZ37" s="9" t="s">
        <v>38</v>
      </c>
      <c r="BA37" s="2">
        <v>41946</v>
      </c>
      <c r="BB37">
        <v>2</v>
      </c>
      <c r="BC37" s="3">
        <v>27</v>
      </c>
      <c r="BD37">
        <v>2.5</v>
      </c>
      <c r="BE37">
        <v>0.5</v>
      </c>
      <c r="BJ37" s="4"/>
      <c r="BL37" s="4"/>
      <c r="BN37" s="4"/>
      <c r="BP37" s="4"/>
      <c r="BQ37" s="4"/>
      <c r="BR37">
        <v>1</v>
      </c>
      <c r="BS37" s="2">
        <v>42387</v>
      </c>
      <c r="BT37">
        <v>1.2073921971252599</v>
      </c>
      <c r="BU37" t="s">
        <v>23</v>
      </c>
      <c r="BY37" s="2">
        <v>43514</v>
      </c>
      <c r="BZ37">
        <v>7</v>
      </c>
      <c r="CA37">
        <v>1</v>
      </c>
      <c r="CB37">
        <v>21</v>
      </c>
    </row>
    <row r="38" spans="2:92" x14ac:dyDescent="0.25">
      <c r="B38" s="1" t="s">
        <v>59</v>
      </c>
      <c r="C38" s="2">
        <v>43222</v>
      </c>
      <c r="D38">
        <v>2</v>
      </c>
      <c r="E38" s="3">
        <v>30</v>
      </c>
      <c r="F38">
        <v>0.5</v>
      </c>
      <c r="G38">
        <v>0.5</v>
      </c>
      <c r="H38">
        <v>2974.0146777909599</v>
      </c>
      <c r="I38">
        <v>4.75733866641162</v>
      </c>
      <c r="J38">
        <v>8009.8984199040096</v>
      </c>
      <c r="K38">
        <v>4.3872711148722701</v>
      </c>
      <c r="L38" s="4">
        <v>369.93607123790503</v>
      </c>
      <c r="M38">
        <v>2.7745496081346799E-2</v>
      </c>
      <c r="N38">
        <v>446.53858577619201</v>
      </c>
      <c r="O38">
        <v>20.859436611853202</v>
      </c>
      <c r="P38">
        <v>68.552000000000007</v>
      </c>
      <c r="Q38">
        <v>0.1211</v>
      </c>
      <c r="R38" s="4">
        <v>4.6184864257284595E-2</v>
      </c>
      <c r="S38" s="4">
        <v>5.3964300273938761</v>
      </c>
      <c r="T38">
        <v>1</v>
      </c>
      <c r="U38" s="2">
        <v>45015</v>
      </c>
      <c r="V38">
        <v>4.9089664613278599</v>
      </c>
      <c r="W38" t="s">
        <v>23</v>
      </c>
      <c r="AZ38" s="9" t="s">
        <v>39</v>
      </c>
      <c r="BA38" s="2">
        <v>42821</v>
      </c>
      <c r="BB38">
        <v>2</v>
      </c>
      <c r="BC38" s="3">
        <v>28</v>
      </c>
      <c r="BD38">
        <v>2.5</v>
      </c>
      <c r="BE38">
        <v>0.5</v>
      </c>
      <c r="BJ38" s="4"/>
      <c r="BL38" s="4"/>
      <c r="BN38" s="4"/>
      <c r="BP38" s="4"/>
      <c r="BQ38" s="4"/>
      <c r="BR38">
        <v>1</v>
      </c>
      <c r="BS38" s="2">
        <v>43528</v>
      </c>
      <c r="BT38">
        <v>1.9356605065024</v>
      </c>
      <c r="BU38" t="s">
        <v>23</v>
      </c>
      <c r="BY38" s="2">
        <v>43528</v>
      </c>
      <c r="BZ38">
        <v>6</v>
      </c>
      <c r="CA38">
        <v>1</v>
      </c>
      <c r="CB38">
        <v>22</v>
      </c>
    </row>
    <row r="39" spans="2:92" x14ac:dyDescent="0.25">
      <c r="B39" s="1" t="s">
        <v>60</v>
      </c>
      <c r="C39" s="2">
        <v>42597</v>
      </c>
      <c r="D39">
        <v>2</v>
      </c>
      <c r="E39" s="3">
        <v>26</v>
      </c>
      <c r="F39">
        <v>2.5</v>
      </c>
      <c r="G39">
        <v>0.5</v>
      </c>
      <c r="H39">
        <v>2415.5809655151602</v>
      </c>
      <c r="I39">
        <v>1.55396725423117</v>
      </c>
      <c r="J39">
        <v>6766.3854643479899</v>
      </c>
      <c r="K39">
        <v>1.0794879036263101</v>
      </c>
      <c r="L39" s="4">
        <v>328.96197762695402</v>
      </c>
      <c r="M39">
        <v>2.7796006464923702</v>
      </c>
      <c r="N39" s="4">
        <v>567.43342376767998</v>
      </c>
      <c r="O39">
        <v>11.0683205984481</v>
      </c>
      <c r="P39">
        <v>59.38</v>
      </c>
      <c r="Q39">
        <v>0.15759000000000001</v>
      </c>
      <c r="R39" s="4">
        <v>4.8617090965368592E-2</v>
      </c>
      <c r="S39" s="4">
        <v>5.5399457330238127</v>
      </c>
      <c r="T39">
        <v>1</v>
      </c>
      <c r="U39" s="2">
        <v>43683</v>
      </c>
      <c r="V39">
        <v>2.9733059548254599</v>
      </c>
      <c r="W39" t="s">
        <v>23</v>
      </c>
      <c r="AZ39" s="9" t="s">
        <v>39</v>
      </c>
      <c r="BA39" s="2">
        <v>42821</v>
      </c>
      <c r="BB39">
        <v>2</v>
      </c>
      <c r="BC39" s="3">
        <v>28</v>
      </c>
      <c r="BD39">
        <v>2.5</v>
      </c>
      <c r="BE39">
        <v>0.5</v>
      </c>
      <c r="BJ39" s="4"/>
      <c r="BL39" s="4"/>
      <c r="BN39" s="4"/>
      <c r="BP39" s="4"/>
      <c r="BQ39" s="4"/>
      <c r="BR39">
        <v>1</v>
      </c>
      <c r="BS39" s="2">
        <v>43528</v>
      </c>
      <c r="BT39">
        <v>1.9356605065024</v>
      </c>
      <c r="BU39" t="s">
        <v>23</v>
      </c>
      <c r="BY39" s="2">
        <v>44025</v>
      </c>
      <c r="BZ39">
        <v>7</v>
      </c>
      <c r="CA39">
        <v>1</v>
      </c>
      <c r="CB39">
        <v>17</v>
      </c>
    </row>
    <row r="40" spans="2:92" x14ac:dyDescent="0.25">
      <c r="B40" s="1" t="s">
        <v>61</v>
      </c>
      <c r="C40" s="2">
        <v>42012</v>
      </c>
      <c r="D40">
        <v>2</v>
      </c>
      <c r="E40" s="3">
        <v>30</v>
      </c>
      <c r="F40" t="s">
        <v>32</v>
      </c>
      <c r="G40" t="s">
        <v>32</v>
      </c>
      <c r="H40">
        <v>2603.2231034645201</v>
      </c>
      <c r="I40">
        <v>1.4114820612733101</v>
      </c>
      <c r="J40">
        <v>6323.7285542338896</v>
      </c>
      <c r="K40">
        <v>1.79131677313051</v>
      </c>
      <c r="L40" s="4">
        <v>272.81961331137001</v>
      </c>
      <c r="M40">
        <v>2.0975741008783602</v>
      </c>
      <c r="N40">
        <v>487.13098948920998</v>
      </c>
      <c r="O40">
        <v>4.1899599881057599</v>
      </c>
      <c r="P40" s="4">
        <v>75.400000000000006</v>
      </c>
      <c r="Q40">
        <v>1.43</v>
      </c>
      <c r="R40" s="4">
        <v>4.3142208108966136E-2</v>
      </c>
      <c r="S40" s="4">
        <v>3.6182972587714852</v>
      </c>
      <c r="T40">
        <v>1</v>
      </c>
      <c r="U40" s="2">
        <v>43784</v>
      </c>
      <c r="V40">
        <v>4.8514715947980802</v>
      </c>
      <c r="W40" t="s">
        <v>23</v>
      </c>
      <c r="AZ40" s="9" t="s">
        <v>39</v>
      </c>
      <c r="BA40" s="2">
        <v>42821</v>
      </c>
      <c r="BB40">
        <v>2</v>
      </c>
      <c r="BC40" s="3">
        <v>28</v>
      </c>
      <c r="BD40">
        <v>2.5</v>
      </c>
      <c r="BE40">
        <v>0.5</v>
      </c>
      <c r="BJ40" s="4"/>
      <c r="BL40" s="4"/>
      <c r="BN40" s="4"/>
      <c r="BP40" s="4"/>
      <c r="BQ40" s="4"/>
      <c r="BR40">
        <v>1</v>
      </c>
      <c r="BS40" s="2">
        <v>43528</v>
      </c>
      <c r="BT40">
        <v>1.9356605065024</v>
      </c>
      <c r="BU40" t="s">
        <v>23</v>
      </c>
      <c r="BY40" s="2">
        <v>44620</v>
      </c>
      <c r="BZ40">
        <v>11</v>
      </c>
      <c r="CA40">
        <v>2</v>
      </c>
      <c r="CB40">
        <v>5</v>
      </c>
    </row>
    <row r="41" spans="2:92" x14ac:dyDescent="0.25">
      <c r="B41" s="1" t="s">
        <v>62</v>
      </c>
      <c r="C41" s="2">
        <v>42536</v>
      </c>
      <c r="D41">
        <v>2</v>
      </c>
      <c r="E41" s="3">
        <v>27</v>
      </c>
      <c r="F41">
        <v>2.5</v>
      </c>
      <c r="G41">
        <v>0.5</v>
      </c>
      <c r="T41">
        <v>1</v>
      </c>
      <c r="U41" s="2">
        <v>43276</v>
      </c>
      <c r="V41">
        <v>2.02600958247776</v>
      </c>
      <c r="W41" t="s">
        <v>23</v>
      </c>
      <c r="AZ41" s="14" t="s">
        <v>41</v>
      </c>
      <c r="BA41" s="2">
        <v>43293</v>
      </c>
      <c r="BB41">
        <v>2</v>
      </c>
      <c r="BC41" s="3">
        <v>28</v>
      </c>
      <c r="BD41">
        <v>2</v>
      </c>
      <c r="BE41">
        <v>0.5</v>
      </c>
      <c r="BF41">
        <v>2569.1341445800699</v>
      </c>
      <c r="BG41">
        <v>0.87379046694837703</v>
      </c>
      <c r="BH41">
        <v>5980.8301797572103</v>
      </c>
      <c r="BI41">
        <v>1.2725746975235399</v>
      </c>
      <c r="BJ41" s="4">
        <v>267.63010611498402</v>
      </c>
      <c r="BK41">
        <v>4.7644963851085302</v>
      </c>
      <c r="BL41" s="4">
        <v>1146.8742141191599</v>
      </c>
      <c r="BM41">
        <v>0.43094542314501499</v>
      </c>
      <c r="BN41" s="4">
        <v>160.87</v>
      </c>
      <c r="BO41">
        <v>0.62899000000000005</v>
      </c>
      <c r="BP41" s="4">
        <v>4.4747986160986158E-2</v>
      </c>
      <c r="BQ41" s="4">
        <v>1.6636421092496054</v>
      </c>
      <c r="BR41">
        <v>1</v>
      </c>
      <c r="BS41" s="2">
        <v>43705</v>
      </c>
      <c r="BT41">
        <v>1.1279945242984299</v>
      </c>
      <c r="BU41" t="s">
        <v>23</v>
      </c>
      <c r="BY41" s="2">
        <v>43705</v>
      </c>
      <c r="BZ41">
        <v>7.5</v>
      </c>
      <c r="CA41">
        <v>1</v>
      </c>
      <c r="CB41">
        <v>27</v>
      </c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</row>
    <row r="42" spans="2:92" x14ac:dyDescent="0.25">
      <c r="B42" s="1" t="s">
        <v>87</v>
      </c>
      <c r="C42" s="2">
        <v>44004</v>
      </c>
      <c r="E42" s="3">
        <v>27</v>
      </c>
      <c r="F42">
        <v>1</v>
      </c>
      <c r="G42">
        <v>0.5</v>
      </c>
      <c r="T42" s="3">
        <v>1</v>
      </c>
      <c r="U42" s="2">
        <v>45215</v>
      </c>
      <c r="V42">
        <v>6.3189596167008899</v>
      </c>
      <c r="W42" t="s">
        <v>99</v>
      </c>
      <c r="X42">
        <v>1</v>
      </c>
      <c r="Y42" s="2">
        <v>44004</v>
      </c>
      <c r="Z42">
        <v>3.0034223134839202</v>
      </c>
      <c r="AZ42" s="9" t="s">
        <v>82</v>
      </c>
      <c r="BA42" s="2">
        <v>42969</v>
      </c>
      <c r="BC42" s="3">
        <v>26</v>
      </c>
      <c r="BD42">
        <v>4.5</v>
      </c>
      <c r="BE42">
        <v>1</v>
      </c>
      <c r="BR42">
        <v>1</v>
      </c>
      <c r="BS42" s="2">
        <v>43374</v>
      </c>
      <c r="BT42">
        <v>2.1464750171115701</v>
      </c>
      <c r="BU42" t="s">
        <v>97</v>
      </c>
      <c r="BV42">
        <v>1</v>
      </c>
      <c r="BW42" s="2">
        <v>42969</v>
      </c>
      <c r="BX42">
        <v>1.0376454483230699</v>
      </c>
      <c r="BY42" s="2">
        <v>43374</v>
      </c>
      <c r="BZ42">
        <v>4.5</v>
      </c>
      <c r="CA42">
        <v>1</v>
      </c>
      <c r="CB42">
        <v>21</v>
      </c>
    </row>
    <row r="43" spans="2:92" x14ac:dyDescent="0.25">
      <c r="B43" s="1" t="s">
        <v>63</v>
      </c>
      <c r="C43" s="2">
        <v>43123</v>
      </c>
      <c r="D43">
        <v>2</v>
      </c>
      <c r="E43" s="3">
        <v>29</v>
      </c>
      <c r="F43">
        <v>0.5</v>
      </c>
      <c r="G43">
        <v>0.5</v>
      </c>
      <c r="T43">
        <v>1</v>
      </c>
      <c r="U43" s="2">
        <v>43495</v>
      </c>
      <c r="V43">
        <v>1.0184804928131399</v>
      </c>
      <c r="W43" t="s">
        <v>23</v>
      </c>
      <c r="AZ43" s="9" t="s">
        <v>42</v>
      </c>
      <c r="BA43" s="2">
        <v>42704</v>
      </c>
      <c r="BB43">
        <v>2</v>
      </c>
      <c r="BC43" s="3">
        <v>28</v>
      </c>
      <c r="BD43">
        <v>0.5</v>
      </c>
      <c r="BE43">
        <v>0.5</v>
      </c>
      <c r="BF43">
        <v>3006.8566161589501</v>
      </c>
      <c r="BG43">
        <v>6.3823978294633399</v>
      </c>
      <c r="BH43">
        <v>8095.6543798631601</v>
      </c>
      <c r="BI43">
        <v>2.47421405590182</v>
      </c>
      <c r="BJ43" s="4">
        <v>342.913289495355</v>
      </c>
      <c r="BK43">
        <v>2.42404561435055</v>
      </c>
      <c r="BL43">
        <v>938.00903870654201</v>
      </c>
      <c r="BM43">
        <v>2.56717437482691</v>
      </c>
      <c r="BN43">
        <v>92.41</v>
      </c>
      <c r="BO43">
        <v>1.6669</v>
      </c>
      <c r="BP43" s="4">
        <v>4.2357698760992712E-2</v>
      </c>
      <c r="BQ43" s="4">
        <v>3.7107811870506979</v>
      </c>
      <c r="BR43">
        <v>1</v>
      </c>
      <c r="BS43" s="2">
        <v>43808</v>
      </c>
      <c r="BT43">
        <v>3.0225872689938398</v>
      </c>
      <c r="BU43" t="s">
        <v>23</v>
      </c>
      <c r="BY43" s="2">
        <v>44544</v>
      </c>
      <c r="BZ43">
        <v>5</v>
      </c>
      <c r="CA43">
        <v>1</v>
      </c>
      <c r="CB43">
        <v>22</v>
      </c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</row>
    <row r="44" spans="2:92" x14ac:dyDescent="0.25">
      <c r="B44" s="1" t="s">
        <v>66</v>
      </c>
      <c r="C44" s="2">
        <v>42150</v>
      </c>
      <c r="D44">
        <v>2</v>
      </c>
      <c r="E44" s="3">
        <v>30</v>
      </c>
      <c r="F44">
        <v>1.5</v>
      </c>
      <c r="G44">
        <v>0.5</v>
      </c>
      <c r="H44">
        <v>2660.2968158440499</v>
      </c>
      <c r="I44">
        <v>1.6424668229491199</v>
      </c>
      <c r="J44">
        <v>7332.1511589440597</v>
      </c>
      <c r="K44">
        <v>0.22644407199911401</v>
      </c>
      <c r="L44" s="4">
        <v>456.66192529244302</v>
      </c>
      <c r="M44">
        <v>0.92282115219108596</v>
      </c>
      <c r="N44">
        <v>386.816525181158</v>
      </c>
      <c r="O44">
        <v>5.3704090593261498</v>
      </c>
      <c r="P44">
        <v>67.7</v>
      </c>
      <c r="Q44">
        <v>1.47</v>
      </c>
      <c r="R44" s="4">
        <v>6.2282120948282414E-2</v>
      </c>
      <c r="S44" s="4">
        <v>6.7453755582340174</v>
      </c>
      <c r="T44">
        <v>1</v>
      </c>
      <c r="U44" s="2">
        <v>43607</v>
      </c>
      <c r="V44">
        <v>3.98904859685147</v>
      </c>
      <c r="W44" t="s">
        <v>23</v>
      </c>
      <c r="AZ44" s="9" t="s">
        <v>42</v>
      </c>
      <c r="BA44" s="2">
        <v>42704</v>
      </c>
      <c r="BB44">
        <v>2</v>
      </c>
      <c r="BC44" s="3">
        <v>28</v>
      </c>
      <c r="BD44">
        <v>0.5</v>
      </c>
      <c r="BE44">
        <v>0.5</v>
      </c>
      <c r="BF44">
        <v>3006.8566161589501</v>
      </c>
      <c r="BG44">
        <v>6.3823978294633399</v>
      </c>
      <c r="BH44">
        <v>8095.6543798631601</v>
      </c>
      <c r="BI44">
        <v>2.47421405590182</v>
      </c>
      <c r="BJ44" s="4">
        <v>342.913289495355</v>
      </c>
      <c r="BK44">
        <v>2.42404561435055</v>
      </c>
      <c r="BL44">
        <v>938.00903870654201</v>
      </c>
      <c r="BM44">
        <v>2.56717437482691</v>
      </c>
      <c r="BN44">
        <v>92.41</v>
      </c>
      <c r="BO44">
        <v>1.6669</v>
      </c>
      <c r="BP44" s="4">
        <v>4.2357698760992712E-2</v>
      </c>
      <c r="BQ44" s="4">
        <v>3.7107811870506979</v>
      </c>
      <c r="BR44">
        <v>1</v>
      </c>
      <c r="BS44" s="2">
        <v>43808</v>
      </c>
      <c r="BT44">
        <v>3.0225872689938398</v>
      </c>
      <c r="BU44" t="s">
        <v>23</v>
      </c>
      <c r="BY44" s="2">
        <v>44956</v>
      </c>
      <c r="BZ44">
        <v>10</v>
      </c>
      <c r="CA44">
        <v>2</v>
      </c>
      <c r="CB44">
        <v>11</v>
      </c>
    </row>
    <row r="45" spans="2:92" x14ac:dyDescent="0.25">
      <c r="B45" s="1" t="s">
        <v>67</v>
      </c>
      <c r="C45" s="2">
        <v>41806</v>
      </c>
      <c r="D45">
        <v>2</v>
      </c>
      <c r="E45" s="3">
        <v>27</v>
      </c>
      <c r="F45">
        <v>3</v>
      </c>
      <c r="G45">
        <v>0.5</v>
      </c>
      <c r="T45">
        <v>1</v>
      </c>
      <c r="U45" s="2">
        <v>42177</v>
      </c>
      <c r="V45">
        <v>1.0157426420260101</v>
      </c>
      <c r="W45" t="s">
        <v>23</v>
      </c>
      <c r="AZ45" s="9" t="s">
        <v>43</v>
      </c>
      <c r="BA45" s="2">
        <v>43026</v>
      </c>
      <c r="BB45">
        <v>2</v>
      </c>
      <c r="BC45" s="3">
        <v>29</v>
      </c>
      <c r="BD45" t="s">
        <v>32</v>
      </c>
      <c r="BE45">
        <v>0.5</v>
      </c>
      <c r="BF45">
        <v>4149.4867651781597</v>
      </c>
      <c r="BG45">
        <v>2.1664447317407398</v>
      </c>
      <c r="BH45">
        <v>8078.9204541824602</v>
      </c>
      <c r="BI45">
        <v>1.2177152502423101</v>
      </c>
      <c r="BJ45" s="4">
        <v>309.43420374995497</v>
      </c>
      <c r="BK45">
        <v>5.1467122015188597E-2</v>
      </c>
      <c r="BL45">
        <v>400.833324860598</v>
      </c>
      <c r="BM45">
        <v>1.51191793297564</v>
      </c>
      <c r="BN45">
        <v>55.677</v>
      </c>
      <c r="BO45">
        <v>1.7395</v>
      </c>
      <c r="BP45" s="4">
        <v>3.8301429690369183E-2</v>
      </c>
      <c r="BQ45" s="4">
        <v>5.5576666082934603</v>
      </c>
      <c r="BR45">
        <v>1</v>
      </c>
      <c r="BS45" s="2">
        <v>43416</v>
      </c>
      <c r="BT45">
        <v>1.06776180698152</v>
      </c>
      <c r="BU45" t="s">
        <v>23</v>
      </c>
      <c r="BY45" s="2">
        <v>43416</v>
      </c>
      <c r="BZ45">
        <v>5.5</v>
      </c>
      <c r="CA45">
        <v>1</v>
      </c>
      <c r="CB45">
        <v>23</v>
      </c>
    </row>
    <row r="46" spans="2:92" x14ac:dyDescent="0.25">
      <c r="B46" s="1" t="s">
        <v>68</v>
      </c>
      <c r="C46" s="2">
        <v>43139</v>
      </c>
      <c r="D46">
        <v>2</v>
      </c>
      <c r="E46" s="3">
        <v>29</v>
      </c>
      <c r="F46">
        <v>0.5</v>
      </c>
      <c r="G46">
        <v>0.5</v>
      </c>
      <c r="T46">
        <v>1</v>
      </c>
      <c r="U46" s="2">
        <v>43864</v>
      </c>
      <c r="V46">
        <v>1.9849418206707701</v>
      </c>
      <c r="W46" t="s">
        <v>23</v>
      </c>
      <c r="AZ46" s="14" t="s">
        <v>44</v>
      </c>
      <c r="BA46" s="2">
        <v>43181</v>
      </c>
      <c r="BB46">
        <v>2</v>
      </c>
      <c r="BC46" s="3">
        <v>24</v>
      </c>
      <c r="BD46">
        <v>2.5</v>
      </c>
      <c r="BE46">
        <v>0.5</v>
      </c>
      <c r="BF46">
        <v>4407.2313394881103</v>
      </c>
      <c r="BG46">
        <v>0.28914671262161401</v>
      </c>
      <c r="BH46">
        <v>10160.155449350001</v>
      </c>
      <c r="BI46">
        <v>5.7539447867598801</v>
      </c>
      <c r="BJ46" s="4">
        <v>596.24616048395399</v>
      </c>
      <c r="BK46">
        <v>3.5768179328266401</v>
      </c>
      <c r="BL46">
        <v>520.41767738107797</v>
      </c>
      <c r="BM46">
        <v>1.55487588115284</v>
      </c>
      <c r="BN46">
        <v>82.680999999999997</v>
      </c>
      <c r="BO46">
        <v>1.8242</v>
      </c>
      <c r="BP46" s="4">
        <v>5.8684747832485083E-2</v>
      </c>
      <c r="BQ46" s="4">
        <v>7.2114048026022184</v>
      </c>
      <c r="BR46">
        <v>1</v>
      </c>
      <c r="BS46" s="2">
        <v>43530</v>
      </c>
      <c r="BT46">
        <v>0.95550992470910301</v>
      </c>
      <c r="BU46" t="s">
        <v>23</v>
      </c>
      <c r="BY46" s="2">
        <v>43530</v>
      </c>
      <c r="BZ46">
        <v>6</v>
      </c>
      <c r="CA46">
        <v>0.5</v>
      </c>
      <c r="CB46">
        <v>21</v>
      </c>
    </row>
    <row r="47" spans="2:92" x14ac:dyDescent="0.25">
      <c r="B47" s="1" t="s">
        <v>89</v>
      </c>
      <c r="C47" s="2">
        <v>43643</v>
      </c>
      <c r="E47" s="3">
        <v>27</v>
      </c>
      <c r="F47">
        <v>0.5</v>
      </c>
      <c r="G47">
        <v>0.5</v>
      </c>
      <c r="T47" s="3">
        <v>1</v>
      </c>
      <c r="U47" s="2">
        <v>44729</v>
      </c>
      <c r="V47">
        <v>7.0225872689938402</v>
      </c>
      <c r="W47" t="s">
        <v>100</v>
      </c>
      <c r="X47">
        <v>1</v>
      </c>
      <c r="Y47" s="2">
        <v>43643</v>
      </c>
      <c r="Z47">
        <v>4.0492813141683799</v>
      </c>
      <c r="AZ47" s="9" t="s">
        <v>45</v>
      </c>
      <c r="BA47" s="2">
        <v>42460</v>
      </c>
      <c r="BB47">
        <v>2</v>
      </c>
      <c r="BC47" s="3">
        <v>27</v>
      </c>
      <c r="BD47">
        <v>2.5</v>
      </c>
      <c r="BE47">
        <v>0.5</v>
      </c>
      <c r="BF47">
        <v>3847.4906010315399</v>
      </c>
      <c r="BG47">
        <v>0.21224301225466299</v>
      </c>
      <c r="BH47">
        <v>11380.331840999501</v>
      </c>
      <c r="BI47">
        <v>0.89047682086477398</v>
      </c>
      <c r="BJ47" s="4">
        <v>929.82612501982101</v>
      </c>
      <c r="BK47">
        <v>1.56653489273063</v>
      </c>
      <c r="BL47">
        <v>642.90066989992704</v>
      </c>
      <c r="BM47">
        <v>2.23602122607367</v>
      </c>
      <c r="BN47">
        <v>59.084000000000003</v>
      </c>
      <c r="BO47">
        <v>1.4336</v>
      </c>
      <c r="BP47" s="4">
        <v>8.1704658353631734E-2</v>
      </c>
      <c r="BQ47">
        <v>15.737359099245497</v>
      </c>
      <c r="BR47">
        <v>1</v>
      </c>
      <c r="BS47" s="2">
        <v>43955</v>
      </c>
      <c r="BT47">
        <v>4.0930869267624903</v>
      </c>
      <c r="BU47" t="s">
        <v>23</v>
      </c>
      <c r="BY47" s="2">
        <v>43955</v>
      </c>
      <c r="BZ47">
        <v>6</v>
      </c>
      <c r="CA47">
        <v>1</v>
      </c>
      <c r="CB47">
        <v>22</v>
      </c>
    </row>
    <row r="48" spans="2:92" x14ac:dyDescent="0.25">
      <c r="B48" s="1" t="s">
        <v>90</v>
      </c>
      <c r="C48" s="2">
        <v>44550</v>
      </c>
      <c r="E48" s="3">
        <v>30</v>
      </c>
      <c r="F48">
        <v>3.5</v>
      </c>
      <c r="G48">
        <v>0.5</v>
      </c>
      <c r="J48">
        <v>9654</v>
      </c>
      <c r="L48" s="4">
        <v>562</v>
      </c>
      <c r="N48">
        <v>476</v>
      </c>
      <c r="P48" s="4">
        <v>77.5</v>
      </c>
      <c r="R48" s="4">
        <v>5.821421172570955E-2</v>
      </c>
      <c r="S48" s="4">
        <v>7.2516129032258068</v>
      </c>
      <c r="T48" s="3">
        <v>1</v>
      </c>
      <c r="U48" s="2">
        <v>45294</v>
      </c>
      <c r="V48">
        <v>6.0396988364134199</v>
      </c>
      <c r="W48" t="s">
        <v>100</v>
      </c>
      <c r="X48">
        <v>1</v>
      </c>
      <c r="Y48" s="2">
        <v>44550</v>
      </c>
      <c r="Z48">
        <v>4.0027378507871303</v>
      </c>
      <c r="AZ48" s="9" t="s">
        <v>45</v>
      </c>
      <c r="BA48" s="2">
        <v>42460</v>
      </c>
      <c r="BB48">
        <v>2</v>
      </c>
      <c r="BC48" s="3">
        <v>27</v>
      </c>
      <c r="BD48">
        <v>2.5</v>
      </c>
      <c r="BE48">
        <v>0.5</v>
      </c>
      <c r="BF48">
        <v>3847.4906010315399</v>
      </c>
      <c r="BG48">
        <v>0.21224301225466299</v>
      </c>
      <c r="BH48">
        <v>11380.331840999501</v>
      </c>
      <c r="BI48">
        <v>0.89047682086477398</v>
      </c>
      <c r="BJ48" s="4">
        <v>929.82612501982101</v>
      </c>
      <c r="BK48">
        <v>1.56653489273063</v>
      </c>
      <c r="BL48">
        <v>642.90066989992704</v>
      </c>
      <c r="BM48">
        <v>2.23602122607367</v>
      </c>
      <c r="BN48">
        <v>59.084000000000003</v>
      </c>
      <c r="BO48">
        <v>1.4336</v>
      </c>
      <c r="BP48" s="4">
        <v>8.1704658353631734E-2</v>
      </c>
      <c r="BQ48">
        <v>15.737359099245497</v>
      </c>
      <c r="BR48">
        <v>1</v>
      </c>
      <c r="BS48" s="2">
        <v>43955</v>
      </c>
      <c r="BT48">
        <v>4.0930869267624903</v>
      </c>
      <c r="BU48" t="s">
        <v>23</v>
      </c>
      <c r="BY48" s="2">
        <v>44273</v>
      </c>
      <c r="BZ48">
        <v>4.5</v>
      </c>
      <c r="CA48">
        <v>1</v>
      </c>
      <c r="CB48">
        <v>22</v>
      </c>
    </row>
    <row r="49" spans="2:92" x14ac:dyDescent="0.25">
      <c r="B49" s="1" t="s">
        <v>69</v>
      </c>
      <c r="C49" s="2">
        <v>42451</v>
      </c>
      <c r="D49">
        <v>2</v>
      </c>
      <c r="E49" s="3">
        <v>29</v>
      </c>
      <c r="F49">
        <v>1.5</v>
      </c>
      <c r="G49">
        <v>0.5</v>
      </c>
      <c r="H49">
        <v>3548.9624704080102</v>
      </c>
      <c r="I49">
        <v>0.72673221626281204</v>
      </c>
      <c r="J49">
        <v>8832.2175418635197</v>
      </c>
      <c r="K49">
        <v>6.1239294809451099</v>
      </c>
      <c r="L49" s="4">
        <v>298.456459423475</v>
      </c>
      <c r="M49">
        <v>0.76233508149546803</v>
      </c>
      <c r="N49" s="4">
        <v>895.67778523266497</v>
      </c>
      <c r="O49">
        <v>2.7805250210522701</v>
      </c>
      <c r="P49" s="4">
        <v>103.96</v>
      </c>
      <c r="Q49">
        <v>0.11632000000000001</v>
      </c>
      <c r="R49" s="4">
        <v>3.379179215285761E-2</v>
      </c>
      <c r="S49" s="4">
        <v>2.8708778320842154</v>
      </c>
      <c r="T49">
        <v>1</v>
      </c>
      <c r="U49" s="2">
        <v>44705</v>
      </c>
      <c r="V49">
        <v>6.17111567419576</v>
      </c>
      <c r="W49" t="s">
        <v>23</v>
      </c>
      <c r="AZ49" s="9" t="s">
        <v>46</v>
      </c>
      <c r="BA49" s="2">
        <v>42513</v>
      </c>
      <c r="BB49">
        <v>2</v>
      </c>
      <c r="BC49" s="3">
        <v>27</v>
      </c>
      <c r="BD49">
        <v>7.5</v>
      </c>
      <c r="BE49">
        <v>1</v>
      </c>
      <c r="BF49">
        <v>3606.1986006342299</v>
      </c>
      <c r="BG49">
        <v>4.2820208827980304</v>
      </c>
      <c r="BH49">
        <v>9738.4235346814403</v>
      </c>
      <c r="BI49">
        <v>3.8226691053121602</v>
      </c>
      <c r="BJ49" s="4">
        <v>427.86187761526003</v>
      </c>
      <c r="BK49">
        <v>0.55156228605665003</v>
      </c>
      <c r="BL49" s="4">
        <v>1103.53080468295</v>
      </c>
      <c r="BM49">
        <v>7.3041924654618402</v>
      </c>
      <c r="BN49" s="4">
        <v>101.15</v>
      </c>
      <c r="BO49">
        <v>0.23207</v>
      </c>
      <c r="BP49" s="4">
        <v>4.3935435349624692E-2</v>
      </c>
      <c r="BQ49" s="4">
        <v>4.2299740742981706</v>
      </c>
      <c r="BR49">
        <v>1</v>
      </c>
      <c r="BS49" s="2">
        <v>42836</v>
      </c>
      <c r="BT49">
        <v>0.88432580424366902</v>
      </c>
      <c r="BU49" t="s">
        <v>23</v>
      </c>
      <c r="BY49" s="2">
        <v>42836</v>
      </c>
      <c r="BZ49">
        <v>7</v>
      </c>
      <c r="CA49">
        <v>1</v>
      </c>
      <c r="CB49">
        <v>22</v>
      </c>
    </row>
    <row r="50" spans="2:92" x14ac:dyDescent="0.25">
      <c r="B50" s="1" t="s">
        <v>70</v>
      </c>
      <c r="C50" s="2">
        <v>42298</v>
      </c>
      <c r="D50">
        <v>2</v>
      </c>
      <c r="E50" s="3">
        <v>27</v>
      </c>
      <c r="F50">
        <v>2.5</v>
      </c>
      <c r="G50">
        <v>0.5</v>
      </c>
      <c r="H50">
        <v>2007.80090674543</v>
      </c>
      <c r="I50">
        <v>9.6383696753252295</v>
      </c>
      <c r="J50">
        <v>7071.5004401239403</v>
      </c>
      <c r="K50">
        <v>6.7134480919950796</v>
      </c>
      <c r="L50" s="4">
        <v>286.74646782648801</v>
      </c>
      <c r="M50">
        <v>1.0669013036114301</v>
      </c>
      <c r="N50" s="4">
        <v>638.49441621593803</v>
      </c>
      <c r="O50">
        <v>2.6544546515449401</v>
      </c>
      <c r="P50">
        <v>64.3</v>
      </c>
      <c r="Q50">
        <v>0.88300000000000001</v>
      </c>
      <c r="R50" s="4">
        <v>4.0549593435571123E-2</v>
      </c>
      <c r="S50" s="4">
        <v>4.4595096084990358</v>
      </c>
      <c r="T50">
        <v>1</v>
      </c>
      <c r="U50" s="2">
        <v>43724</v>
      </c>
      <c r="V50">
        <v>3.9041752224503798</v>
      </c>
      <c r="W50" t="s">
        <v>23</v>
      </c>
      <c r="AZ50" s="9" t="s">
        <v>46</v>
      </c>
      <c r="BA50" s="2">
        <v>42513</v>
      </c>
      <c r="BB50">
        <v>2</v>
      </c>
      <c r="BC50" s="3">
        <v>27</v>
      </c>
      <c r="BD50">
        <v>7.5</v>
      </c>
      <c r="BE50">
        <v>1</v>
      </c>
      <c r="BF50">
        <v>3606.1986006342299</v>
      </c>
      <c r="BG50">
        <v>4.2820208827980304</v>
      </c>
      <c r="BH50">
        <v>9738.4235346814403</v>
      </c>
      <c r="BI50">
        <v>3.8226691053121602</v>
      </c>
      <c r="BJ50" s="4">
        <v>427.86187761526003</v>
      </c>
      <c r="BK50">
        <v>0.55156228605665003</v>
      </c>
      <c r="BL50" s="4">
        <v>1103.53080468295</v>
      </c>
      <c r="BM50">
        <v>7.3041924654618402</v>
      </c>
      <c r="BN50" s="4">
        <v>101.15</v>
      </c>
      <c r="BO50">
        <v>0.23207</v>
      </c>
      <c r="BP50" s="4">
        <v>4.3935435349624692E-2</v>
      </c>
      <c r="BQ50" s="4">
        <v>4.2299740742981706</v>
      </c>
      <c r="BR50">
        <v>1</v>
      </c>
      <c r="BS50" s="2">
        <v>42836</v>
      </c>
      <c r="BT50">
        <v>0.88432580424366902</v>
      </c>
      <c r="BU50" t="s">
        <v>23</v>
      </c>
      <c r="BY50" s="2">
        <v>43236</v>
      </c>
      <c r="BZ50">
        <v>9</v>
      </c>
      <c r="CA50">
        <v>1</v>
      </c>
      <c r="CB50">
        <v>23</v>
      </c>
    </row>
    <row r="51" spans="2:92" x14ac:dyDescent="0.25">
      <c r="B51" s="1" t="s">
        <v>71</v>
      </c>
      <c r="C51" s="2">
        <v>42530</v>
      </c>
      <c r="D51">
        <v>2</v>
      </c>
      <c r="E51" s="3">
        <v>29</v>
      </c>
      <c r="F51">
        <v>0.5</v>
      </c>
      <c r="G51">
        <v>0.5</v>
      </c>
      <c r="H51">
        <v>3545.7167692989001</v>
      </c>
      <c r="I51">
        <v>0.14392962261419201</v>
      </c>
      <c r="J51">
        <v>9450.7424110522406</v>
      </c>
      <c r="K51">
        <v>1.2996097428442801</v>
      </c>
      <c r="L51" s="4">
        <v>469.89578690466197</v>
      </c>
      <c r="M51">
        <v>0.95355287399074296</v>
      </c>
      <c r="N51" s="4">
        <v>978.01648930103295</v>
      </c>
      <c r="O51">
        <v>2.1505121233116702</v>
      </c>
      <c r="P51" s="4">
        <v>95.766000000000005</v>
      </c>
      <c r="Q51">
        <v>0.77309000000000005</v>
      </c>
      <c r="R51" s="4">
        <v>4.972051575071381E-2</v>
      </c>
      <c r="S51" s="4">
        <v>4.9067078807161408</v>
      </c>
      <c r="T51">
        <v>1</v>
      </c>
      <c r="U51" s="2">
        <v>44386</v>
      </c>
      <c r="V51">
        <v>5.0814510609171801</v>
      </c>
      <c r="W51" t="s">
        <v>23</v>
      </c>
      <c r="AZ51" s="9" t="s">
        <v>46</v>
      </c>
      <c r="BA51" s="2">
        <v>42513</v>
      </c>
      <c r="BB51">
        <v>2</v>
      </c>
      <c r="BC51" s="3">
        <v>27</v>
      </c>
      <c r="BD51">
        <v>7.5</v>
      </c>
      <c r="BE51">
        <v>1</v>
      </c>
      <c r="BF51">
        <v>3606.1986006342299</v>
      </c>
      <c r="BG51">
        <v>4.2820208827980304</v>
      </c>
      <c r="BH51">
        <v>9738.4235346814403</v>
      </c>
      <c r="BI51">
        <v>3.8226691053121602</v>
      </c>
      <c r="BJ51" s="4">
        <v>427.86187761526003</v>
      </c>
      <c r="BK51">
        <v>0.55156228605665003</v>
      </c>
      <c r="BL51" s="4">
        <v>1103.53080468295</v>
      </c>
      <c r="BM51">
        <v>7.3041924654618402</v>
      </c>
      <c r="BN51" s="4">
        <v>101.15</v>
      </c>
      <c r="BO51">
        <v>0.23207</v>
      </c>
      <c r="BP51" s="4">
        <v>4.3935435349624692E-2</v>
      </c>
      <c r="BQ51" s="4">
        <v>4.2299740742981706</v>
      </c>
      <c r="BR51">
        <v>1</v>
      </c>
      <c r="BS51" s="2">
        <v>42836</v>
      </c>
      <c r="BT51">
        <v>0.88432580424366902</v>
      </c>
      <c r="BU51" t="s">
        <v>23</v>
      </c>
      <c r="BY51" s="2">
        <v>43619</v>
      </c>
      <c r="BZ51">
        <v>12</v>
      </c>
      <c r="CA51">
        <v>2</v>
      </c>
      <c r="CB51">
        <v>20</v>
      </c>
    </row>
    <row r="52" spans="2:92" x14ac:dyDescent="0.25">
      <c r="B52" s="1" t="s">
        <v>72</v>
      </c>
      <c r="C52" s="2">
        <v>41884</v>
      </c>
      <c r="D52">
        <v>2</v>
      </c>
      <c r="E52" s="3">
        <v>30</v>
      </c>
      <c r="F52">
        <v>0.5</v>
      </c>
      <c r="G52">
        <v>0.5</v>
      </c>
      <c r="H52">
        <v>2741.37</v>
      </c>
      <c r="I52">
        <v>2.15</v>
      </c>
      <c r="J52">
        <v>6095.0005218566703</v>
      </c>
      <c r="K52">
        <v>2.8716230354394501</v>
      </c>
      <c r="L52" s="4">
        <v>464.93097647510399</v>
      </c>
      <c r="M52">
        <v>2.20127024487152</v>
      </c>
      <c r="N52">
        <v>440.89676527717501</v>
      </c>
      <c r="O52">
        <v>2.65106625597944</v>
      </c>
      <c r="P52">
        <v>55.4</v>
      </c>
      <c r="Q52">
        <v>2.2799999999999998</v>
      </c>
      <c r="R52" s="4">
        <v>7.6280711512306129E-2</v>
      </c>
      <c r="S52" s="4">
        <v>8.3922558930524183</v>
      </c>
      <c r="T52">
        <v>1</v>
      </c>
      <c r="U52" s="2">
        <v>44459</v>
      </c>
      <c r="V52">
        <v>7.04996577686516</v>
      </c>
      <c r="W52" t="s">
        <v>23</v>
      </c>
      <c r="AZ52" s="9" t="s">
        <v>46</v>
      </c>
      <c r="BA52" s="2">
        <v>42513</v>
      </c>
      <c r="BB52">
        <v>2</v>
      </c>
      <c r="BC52" s="3">
        <v>27</v>
      </c>
      <c r="BD52">
        <v>7.5</v>
      </c>
      <c r="BE52">
        <v>1</v>
      </c>
      <c r="BF52">
        <v>3606.1986006342299</v>
      </c>
      <c r="BG52">
        <v>4.2820208827980304</v>
      </c>
      <c r="BH52">
        <v>9738.4235346814403</v>
      </c>
      <c r="BI52">
        <v>3.8226691053121602</v>
      </c>
      <c r="BJ52" s="4">
        <v>427.86187761526003</v>
      </c>
      <c r="BK52">
        <v>0.55156228605665003</v>
      </c>
      <c r="BL52" s="4">
        <v>1103.53080468295</v>
      </c>
      <c r="BM52">
        <v>7.3041924654618402</v>
      </c>
      <c r="BN52" s="4">
        <v>101.15</v>
      </c>
      <c r="BO52">
        <v>0.23207</v>
      </c>
      <c r="BP52" s="4">
        <v>4.3935435349624692E-2</v>
      </c>
      <c r="BQ52" s="4">
        <v>4.2299740742981706</v>
      </c>
      <c r="BR52">
        <v>1</v>
      </c>
      <c r="BS52" s="2">
        <v>42836</v>
      </c>
      <c r="BT52">
        <v>0.88432580424366902</v>
      </c>
      <c r="BU52" t="s">
        <v>23</v>
      </c>
      <c r="BY52" s="2">
        <v>44028</v>
      </c>
      <c r="BZ52">
        <v>12</v>
      </c>
      <c r="CA52">
        <v>2</v>
      </c>
      <c r="CB52">
        <v>20</v>
      </c>
    </row>
    <row r="53" spans="2:92" x14ac:dyDescent="0.25">
      <c r="B53" s="1" t="s">
        <v>73</v>
      </c>
      <c r="C53" s="2">
        <v>42191</v>
      </c>
      <c r="D53">
        <v>2</v>
      </c>
      <c r="E53" s="3">
        <v>27</v>
      </c>
      <c r="F53">
        <v>1.5</v>
      </c>
      <c r="G53">
        <v>0.5</v>
      </c>
      <c r="T53">
        <v>1</v>
      </c>
      <c r="U53" s="2">
        <v>43318</v>
      </c>
      <c r="V53">
        <v>3.08555783709788</v>
      </c>
      <c r="W53" t="s">
        <v>23</v>
      </c>
      <c r="AZ53" s="14" t="s">
        <v>47</v>
      </c>
      <c r="BA53" s="2">
        <v>42676</v>
      </c>
      <c r="BB53">
        <v>2</v>
      </c>
      <c r="BC53" s="3">
        <v>27</v>
      </c>
      <c r="BD53">
        <v>2.5</v>
      </c>
      <c r="BE53">
        <v>0.5</v>
      </c>
      <c r="BF53">
        <v>2157.51217857453</v>
      </c>
      <c r="BG53">
        <v>1.8464798855046101</v>
      </c>
      <c r="BH53">
        <v>6241.2699821039696</v>
      </c>
      <c r="BI53">
        <v>1.82651949110529</v>
      </c>
      <c r="BJ53" s="4">
        <v>277.90411943582501</v>
      </c>
      <c r="BK53">
        <v>2.1204666687486702</v>
      </c>
      <c r="BL53">
        <v>577.05929794027804</v>
      </c>
      <c r="BM53">
        <v>7.5252549837698995E-2</v>
      </c>
      <c r="BN53">
        <v>74.001999999999995</v>
      </c>
      <c r="BO53">
        <v>0</v>
      </c>
      <c r="BP53" s="4">
        <v>4.4526854347381052E-2</v>
      </c>
      <c r="BQ53">
        <v>3.7553595772523045</v>
      </c>
      <c r="BR53">
        <v>1</v>
      </c>
      <c r="BS53" s="2">
        <v>43035</v>
      </c>
      <c r="BT53">
        <v>0.98288843258042402</v>
      </c>
      <c r="BU53" t="s">
        <v>23</v>
      </c>
      <c r="BY53" s="2">
        <v>43035</v>
      </c>
      <c r="BZ53">
        <v>4.5</v>
      </c>
      <c r="CA53">
        <v>1</v>
      </c>
      <c r="CB53">
        <v>25</v>
      </c>
    </row>
    <row r="54" spans="2:92" x14ac:dyDescent="0.25">
      <c r="B54" s="1" t="s">
        <v>74</v>
      </c>
      <c r="C54" s="2">
        <v>42163</v>
      </c>
      <c r="D54">
        <v>2</v>
      </c>
      <c r="E54" s="3">
        <v>29</v>
      </c>
      <c r="F54">
        <v>1</v>
      </c>
      <c r="G54">
        <v>0.5</v>
      </c>
      <c r="T54">
        <v>1</v>
      </c>
      <c r="U54" s="2">
        <v>43271</v>
      </c>
      <c r="V54">
        <v>3.0335386721423698</v>
      </c>
      <c r="W54" t="s">
        <v>23</v>
      </c>
      <c r="AZ54" s="9" t="s">
        <v>47</v>
      </c>
      <c r="BA54" s="2">
        <v>42676</v>
      </c>
      <c r="BB54">
        <v>2</v>
      </c>
      <c r="BC54" s="3">
        <v>27</v>
      </c>
      <c r="BD54">
        <v>2.5</v>
      </c>
      <c r="BE54">
        <v>0.5</v>
      </c>
      <c r="BF54">
        <v>2157.51217857453</v>
      </c>
      <c r="BG54">
        <v>1.8464798855046101</v>
      </c>
      <c r="BH54">
        <v>6241.2699821039696</v>
      </c>
      <c r="BI54">
        <v>1.82651949110529</v>
      </c>
      <c r="BJ54" s="4">
        <v>277.90411943582501</v>
      </c>
      <c r="BK54">
        <v>2.1204666687486702</v>
      </c>
      <c r="BL54">
        <v>577.05929794027804</v>
      </c>
      <c r="BM54">
        <v>7.5252549837698995E-2</v>
      </c>
      <c r="BN54">
        <v>74.001999999999995</v>
      </c>
      <c r="BO54">
        <v>0</v>
      </c>
      <c r="BP54" s="4">
        <v>4.4526854347381052E-2</v>
      </c>
      <c r="BQ54">
        <v>3.7553595772523045</v>
      </c>
      <c r="BR54">
        <v>1</v>
      </c>
      <c r="BS54" s="2">
        <v>43035</v>
      </c>
      <c r="BT54">
        <v>0.98288843258042402</v>
      </c>
      <c r="BU54" t="s">
        <v>23</v>
      </c>
      <c r="BY54" s="2">
        <v>43448</v>
      </c>
      <c r="BZ54">
        <v>4.5</v>
      </c>
      <c r="CA54">
        <v>1</v>
      </c>
      <c r="CB54">
        <v>21</v>
      </c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</row>
    <row r="55" spans="2:92" x14ac:dyDescent="0.25">
      <c r="B55" s="1" t="s">
        <v>75</v>
      </c>
      <c r="C55" s="2">
        <v>43109</v>
      </c>
      <c r="D55">
        <v>2</v>
      </c>
      <c r="E55" s="3">
        <v>18</v>
      </c>
      <c r="F55">
        <v>3</v>
      </c>
      <c r="G55">
        <v>0.5</v>
      </c>
      <c r="T55">
        <v>1</v>
      </c>
      <c r="U55" s="2">
        <v>44039</v>
      </c>
      <c r="V55">
        <v>2.5462012320328502</v>
      </c>
      <c r="W55" t="s">
        <v>23</v>
      </c>
      <c r="AZ55" s="9" t="s">
        <v>49</v>
      </c>
      <c r="BA55" s="2">
        <v>41963</v>
      </c>
      <c r="BB55">
        <v>2</v>
      </c>
      <c r="BC55" s="3">
        <v>26</v>
      </c>
      <c r="BD55">
        <v>1.5</v>
      </c>
      <c r="BE55">
        <v>0.5</v>
      </c>
      <c r="BF55">
        <v>2051.0522248993002</v>
      </c>
      <c r="BG55">
        <v>0.42962219104194699</v>
      </c>
      <c r="BH55">
        <v>5032.8796159413596</v>
      </c>
      <c r="BI55">
        <v>0.68251394771115004</v>
      </c>
      <c r="BJ55" s="4">
        <v>350.72724818871802</v>
      </c>
      <c r="BK55">
        <v>3.67999694683615</v>
      </c>
      <c r="BL55">
        <v>325.67327635740702</v>
      </c>
      <c r="BM55">
        <v>0.77099002455244903</v>
      </c>
      <c r="BN55">
        <v>45.5</v>
      </c>
      <c r="BO55">
        <v>0.25600000000000001</v>
      </c>
      <c r="BP55" s="4">
        <v>6.9687192015841073E-2</v>
      </c>
      <c r="BQ55">
        <v>7.7082911689828135</v>
      </c>
      <c r="BR55">
        <v>1</v>
      </c>
      <c r="BS55" s="2">
        <v>42711</v>
      </c>
      <c r="BT55">
        <v>2.0479123887748099</v>
      </c>
      <c r="BU55" t="s">
        <v>23</v>
      </c>
      <c r="BY55" s="2">
        <v>42711</v>
      </c>
      <c r="BZ55">
        <v>3</v>
      </c>
      <c r="CA55">
        <v>0.5</v>
      </c>
      <c r="CB55">
        <v>18</v>
      </c>
      <c r="CC55">
        <v>1623.0689877904799</v>
      </c>
      <c r="CD55">
        <v>2.5702702182339601</v>
      </c>
      <c r="CE55">
        <v>4770.8955576199596</v>
      </c>
      <c r="CF55">
        <v>2.3742305729723499</v>
      </c>
      <c r="CG55" s="4">
        <v>298.646040667634</v>
      </c>
      <c r="CH55">
        <v>0.742079721583779</v>
      </c>
      <c r="CI55">
        <v>285.26007555241898</v>
      </c>
      <c r="CJ55">
        <v>12.161758822796999</v>
      </c>
      <c r="CK55">
        <v>45.683999999999997</v>
      </c>
      <c r="CL55">
        <v>5.1460999999999997</v>
      </c>
      <c r="CM55" s="4">
        <v>6.2597480297099301E-2</v>
      </c>
      <c r="CN55" s="4">
        <v>6.5372130432456439</v>
      </c>
    </row>
    <row r="56" spans="2:92" x14ac:dyDescent="0.25">
      <c r="B56" s="1" t="s">
        <v>83</v>
      </c>
      <c r="C56" s="2">
        <v>42450</v>
      </c>
      <c r="E56" s="3">
        <v>28</v>
      </c>
      <c r="F56">
        <v>2.5</v>
      </c>
      <c r="G56">
        <v>0.5</v>
      </c>
      <c r="T56" s="3">
        <v>1</v>
      </c>
      <c r="U56" s="2">
        <v>44756</v>
      </c>
      <c r="V56">
        <v>7.31006160164271</v>
      </c>
      <c r="W56" t="s">
        <v>97</v>
      </c>
      <c r="X56">
        <v>1</v>
      </c>
      <c r="Y56" s="2">
        <v>42450</v>
      </c>
      <c r="Z56">
        <v>0.99657768651608503</v>
      </c>
      <c r="AZ56" s="14" t="s">
        <v>50</v>
      </c>
      <c r="BA56" s="2">
        <v>42067</v>
      </c>
      <c r="BB56">
        <v>2</v>
      </c>
      <c r="BC56" s="3">
        <v>28</v>
      </c>
      <c r="BD56">
        <v>3.5</v>
      </c>
      <c r="BE56">
        <v>0.5</v>
      </c>
      <c r="BR56">
        <v>1</v>
      </c>
      <c r="BS56" s="2">
        <v>42803</v>
      </c>
      <c r="BT56">
        <v>2.0150581793292299</v>
      </c>
      <c r="BU56" t="s">
        <v>23</v>
      </c>
      <c r="BY56" s="2">
        <v>42803</v>
      </c>
      <c r="BZ56">
        <v>12</v>
      </c>
      <c r="CA56">
        <v>2</v>
      </c>
      <c r="CB56">
        <v>27</v>
      </c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</row>
    <row r="57" spans="2:92" x14ac:dyDescent="0.25">
      <c r="B57" s="1" t="s">
        <v>76</v>
      </c>
      <c r="C57" s="2">
        <v>43074</v>
      </c>
      <c r="D57">
        <v>2</v>
      </c>
      <c r="E57" s="3">
        <v>29</v>
      </c>
      <c r="F57">
        <v>0.5</v>
      </c>
      <c r="G57">
        <v>0.5</v>
      </c>
      <c r="H57">
        <v>1780.03363053825</v>
      </c>
      <c r="I57">
        <v>3.4932115782750901</v>
      </c>
      <c r="J57">
        <v>4378.02395393186</v>
      </c>
      <c r="K57">
        <v>1.35371735796965</v>
      </c>
      <c r="L57" s="4">
        <v>370.70174848529501</v>
      </c>
      <c r="M57">
        <v>1.0114030486579599</v>
      </c>
      <c r="N57">
        <v>197.63807335852101</v>
      </c>
      <c r="O57">
        <v>2.03330372377531</v>
      </c>
      <c r="P57">
        <v>52.871000000000002</v>
      </c>
      <c r="Q57">
        <v>2.3363999999999998</v>
      </c>
      <c r="R57">
        <v>8.4673302929823266E-2</v>
      </c>
      <c r="S57" s="4">
        <v>7.0114381888993016</v>
      </c>
      <c r="T57">
        <v>1</v>
      </c>
      <c r="U57" s="2">
        <v>45103</v>
      </c>
      <c r="V57">
        <v>5.5550992470910296</v>
      </c>
      <c r="W57" t="s">
        <v>23</v>
      </c>
      <c r="AZ57" s="14" t="s">
        <v>51</v>
      </c>
      <c r="BA57" s="2">
        <v>42088</v>
      </c>
      <c r="BB57">
        <v>2</v>
      </c>
      <c r="BC57" s="3">
        <v>29</v>
      </c>
      <c r="BD57">
        <v>7</v>
      </c>
      <c r="BE57">
        <v>1</v>
      </c>
      <c r="BR57">
        <v>1</v>
      </c>
      <c r="BS57" s="2">
        <v>43186</v>
      </c>
      <c r="BT57">
        <v>3.00616016427105</v>
      </c>
      <c r="BU57" t="s">
        <v>23</v>
      </c>
      <c r="BY57" s="2">
        <v>43186</v>
      </c>
      <c r="BZ57">
        <v>9</v>
      </c>
      <c r="CA57">
        <v>1</v>
      </c>
      <c r="CB57">
        <v>25</v>
      </c>
    </row>
    <row r="58" spans="2:92" x14ac:dyDescent="0.25">
      <c r="B58" s="1" t="s">
        <v>77</v>
      </c>
      <c r="C58" s="2">
        <v>42808</v>
      </c>
      <c r="D58">
        <v>2</v>
      </c>
      <c r="E58" s="3">
        <v>28</v>
      </c>
      <c r="F58">
        <v>0.5</v>
      </c>
      <c r="G58">
        <v>0.5</v>
      </c>
      <c r="H58">
        <v>4189.7973350062302</v>
      </c>
      <c r="I58">
        <v>2.28972333525636</v>
      </c>
      <c r="J58">
        <v>9937.1267105227598</v>
      </c>
      <c r="K58">
        <v>1.12896723928072</v>
      </c>
      <c r="L58" s="4">
        <v>638.66668130305902</v>
      </c>
      <c r="M58">
        <v>1.57045332706484</v>
      </c>
      <c r="N58" s="4">
        <v>640.20068199862703</v>
      </c>
      <c r="O58">
        <v>4.2691766743836803</v>
      </c>
      <c r="P58" s="4">
        <v>86.686000000000007</v>
      </c>
      <c r="Q58">
        <v>2.1015999999999999</v>
      </c>
      <c r="R58" s="4">
        <v>6.4270759537236585E-2</v>
      </c>
      <c r="S58" s="4">
        <v>7.3675873993846634</v>
      </c>
      <c r="T58">
        <v>1</v>
      </c>
      <c r="U58" s="2">
        <v>43180</v>
      </c>
      <c r="V58">
        <v>1.0184804928131399</v>
      </c>
      <c r="W58" t="s">
        <v>23</v>
      </c>
      <c r="AZ58" s="9" t="s">
        <v>51</v>
      </c>
      <c r="BA58" s="2">
        <v>42088</v>
      </c>
      <c r="BB58">
        <v>2</v>
      </c>
      <c r="BC58" s="3">
        <v>29</v>
      </c>
      <c r="BD58">
        <v>7</v>
      </c>
      <c r="BE58">
        <v>1</v>
      </c>
      <c r="BR58">
        <v>1</v>
      </c>
      <c r="BS58" s="2">
        <v>43186</v>
      </c>
      <c r="BT58">
        <v>3.00616016427105</v>
      </c>
      <c r="BU58" t="s">
        <v>23</v>
      </c>
      <c r="BY58" s="2">
        <v>43606</v>
      </c>
      <c r="BZ58">
        <v>9</v>
      </c>
      <c r="CA58">
        <v>1</v>
      </c>
      <c r="CB58">
        <v>20</v>
      </c>
    </row>
    <row r="59" spans="2:92" x14ac:dyDescent="0.25">
      <c r="B59" s="1" t="s">
        <v>78</v>
      </c>
      <c r="C59" s="2">
        <v>42403</v>
      </c>
      <c r="D59">
        <v>2</v>
      </c>
      <c r="E59" s="3">
        <v>29</v>
      </c>
      <c r="F59">
        <v>0.5</v>
      </c>
      <c r="G59">
        <v>0.5</v>
      </c>
      <c r="H59">
        <v>2692.01529632658</v>
      </c>
      <c r="I59">
        <v>2.5556983423045101</v>
      </c>
      <c r="J59">
        <v>7425.5161844636204</v>
      </c>
      <c r="K59">
        <v>1.96312511070476</v>
      </c>
      <c r="L59" s="4">
        <v>289.36579644931902</v>
      </c>
      <c r="M59">
        <v>1.37879461037324</v>
      </c>
      <c r="N59" s="4">
        <v>846.99372717032702</v>
      </c>
      <c r="O59">
        <v>6.7871695817613098E-2</v>
      </c>
      <c r="P59" s="4">
        <v>108</v>
      </c>
      <c r="Q59">
        <v>1.85</v>
      </c>
      <c r="R59" s="4">
        <v>3.8969115312785657E-2</v>
      </c>
      <c r="S59" s="4">
        <v>2.679312930086287</v>
      </c>
      <c r="T59">
        <v>1</v>
      </c>
      <c r="U59" s="2">
        <v>44634</v>
      </c>
      <c r="V59">
        <v>6.1081451060917198</v>
      </c>
      <c r="W59" t="s">
        <v>23</v>
      </c>
      <c r="AZ59" s="9" t="s">
        <v>51</v>
      </c>
      <c r="BA59" s="2">
        <v>42088</v>
      </c>
      <c r="BB59">
        <v>2</v>
      </c>
      <c r="BC59" s="3">
        <v>29</v>
      </c>
      <c r="BD59">
        <v>7</v>
      </c>
      <c r="BE59">
        <v>1</v>
      </c>
      <c r="BR59">
        <v>1</v>
      </c>
      <c r="BS59" s="2">
        <v>43186</v>
      </c>
      <c r="BT59">
        <v>3.00616016427105</v>
      </c>
      <c r="BU59" t="s">
        <v>23</v>
      </c>
      <c r="BY59" s="2">
        <v>44277</v>
      </c>
      <c r="BZ59">
        <v>8</v>
      </c>
      <c r="CA59">
        <v>1</v>
      </c>
      <c r="CB59">
        <v>15</v>
      </c>
    </row>
    <row r="60" spans="2:92" x14ac:dyDescent="0.25">
      <c r="B60" s="1" t="s">
        <v>79</v>
      </c>
      <c r="C60" s="2">
        <v>42625</v>
      </c>
      <c r="D60">
        <v>2</v>
      </c>
      <c r="E60" s="3">
        <v>28</v>
      </c>
      <c r="F60">
        <v>2</v>
      </c>
      <c r="G60">
        <v>0.5</v>
      </c>
      <c r="H60">
        <v>5766.6419983386604</v>
      </c>
      <c r="I60">
        <v>2.5303072608982902</v>
      </c>
      <c r="J60">
        <v>11803.2272953231</v>
      </c>
      <c r="K60">
        <v>0.19325579657549899</v>
      </c>
      <c r="L60">
        <v>1407.10731500779</v>
      </c>
      <c r="M60">
        <v>1.53262904960013</v>
      </c>
      <c r="N60" s="4">
        <v>676.97415037573501</v>
      </c>
      <c r="O60">
        <v>5.4346194235078702</v>
      </c>
      <c r="P60" s="4">
        <v>77.355999999999995</v>
      </c>
      <c r="Q60">
        <v>6.9483000000000003E-2</v>
      </c>
      <c r="R60">
        <v>0.11921377770682608</v>
      </c>
      <c r="S60">
        <v>18.190021653236855</v>
      </c>
      <c r="T60">
        <v>1</v>
      </c>
      <c r="U60" s="2">
        <v>43005</v>
      </c>
      <c r="V60">
        <v>1.0403832991102</v>
      </c>
      <c r="W60" t="s">
        <v>23</v>
      </c>
      <c r="AZ60" s="9" t="s">
        <v>51</v>
      </c>
      <c r="BA60" s="2">
        <v>42088</v>
      </c>
      <c r="BB60">
        <v>2</v>
      </c>
      <c r="BC60" s="3">
        <v>29</v>
      </c>
      <c r="BD60">
        <v>7</v>
      </c>
      <c r="BE60">
        <v>1</v>
      </c>
      <c r="BR60">
        <v>1</v>
      </c>
      <c r="BS60" s="2">
        <v>43186</v>
      </c>
      <c r="BT60">
        <v>3.00616016427105</v>
      </c>
      <c r="BU60" t="s">
        <v>23</v>
      </c>
      <c r="BY60" s="2">
        <v>44592</v>
      </c>
      <c r="BZ60">
        <v>6</v>
      </c>
      <c r="CA60">
        <v>1</v>
      </c>
      <c r="CB60">
        <v>18</v>
      </c>
    </row>
    <row r="61" spans="2:92" x14ac:dyDescent="0.25">
      <c r="B61" s="1" t="s">
        <v>80</v>
      </c>
      <c r="C61" s="2">
        <v>41921</v>
      </c>
      <c r="D61">
        <v>2</v>
      </c>
      <c r="E61" s="3">
        <v>29</v>
      </c>
      <c r="F61">
        <v>0.5</v>
      </c>
      <c r="G61">
        <v>0.5</v>
      </c>
      <c r="H61">
        <v>4062.0499220659299</v>
      </c>
      <c r="I61">
        <v>0.46615996790090197</v>
      </c>
      <c r="J61">
        <v>9343.7325648272708</v>
      </c>
      <c r="K61">
        <v>0.73468989364882797</v>
      </c>
      <c r="L61" s="4">
        <v>438.49053107051299</v>
      </c>
      <c r="M61">
        <v>2.7570194647665698</v>
      </c>
      <c r="N61" s="4">
        <v>562.19937605134396</v>
      </c>
      <c r="O61">
        <v>5.9795810604098696</v>
      </c>
      <c r="P61" s="4">
        <v>79.7</v>
      </c>
      <c r="Q61">
        <v>1.55</v>
      </c>
      <c r="R61" s="4">
        <v>4.6928840057037631E-2</v>
      </c>
      <c r="S61" s="4">
        <v>5.5017632505710532</v>
      </c>
      <c r="T61">
        <v>1</v>
      </c>
      <c r="U61" s="2">
        <v>43388</v>
      </c>
      <c r="V61">
        <v>4.0164271047227897</v>
      </c>
      <c r="W61" t="s">
        <v>23</v>
      </c>
      <c r="AZ61" s="14" t="s">
        <v>52</v>
      </c>
      <c r="BA61" s="2">
        <v>42137</v>
      </c>
      <c r="BB61">
        <v>2</v>
      </c>
      <c r="BC61" s="3">
        <v>26</v>
      </c>
      <c r="BD61">
        <v>1</v>
      </c>
      <c r="BE61">
        <v>0.5</v>
      </c>
      <c r="BR61" s="3">
        <v>1</v>
      </c>
      <c r="BS61" s="2">
        <v>43593</v>
      </c>
      <c r="BT61" s="1">
        <v>3.9863107460643401</v>
      </c>
      <c r="BU61" t="s">
        <v>23</v>
      </c>
      <c r="BW61" s="2"/>
      <c r="BY61" s="2">
        <v>43593</v>
      </c>
      <c r="BZ61">
        <v>3.5</v>
      </c>
      <c r="CA61">
        <v>0.5</v>
      </c>
      <c r="CB61">
        <v>24</v>
      </c>
    </row>
    <row r="62" spans="2:92" x14ac:dyDescent="0.25">
      <c r="B62" s="1" t="s">
        <v>92</v>
      </c>
      <c r="C62" s="2">
        <v>45195</v>
      </c>
      <c r="E62" s="3">
        <v>27</v>
      </c>
      <c r="F62">
        <v>6.5</v>
      </c>
      <c r="G62">
        <v>1</v>
      </c>
      <c r="T62" s="3">
        <v>1</v>
      </c>
      <c r="U62" s="2">
        <v>45195</v>
      </c>
      <c r="V62">
        <v>5.0951403148528396</v>
      </c>
      <c r="W62" t="s">
        <v>101</v>
      </c>
      <c r="X62">
        <v>1</v>
      </c>
      <c r="Y62" s="2">
        <v>45195</v>
      </c>
      <c r="Z62">
        <v>5.0951403148528396</v>
      </c>
      <c r="AZ62" s="14" t="s">
        <v>52</v>
      </c>
      <c r="BA62" s="2">
        <v>42137</v>
      </c>
      <c r="BB62">
        <v>2</v>
      </c>
      <c r="BC62" s="3">
        <v>26</v>
      </c>
      <c r="BD62">
        <v>1</v>
      </c>
      <c r="BE62">
        <v>0.5</v>
      </c>
      <c r="BR62" s="3">
        <v>1</v>
      </c>
      <c r="BS62" s="2">
        <v>43593</v>
      </c>
      <c r="BT62" s="1">
        <v>3.9863107460643401</v>
      </c>
      <c r="BU62" t="s">
        <v>23</v>
      </c>
      <c r="BW62" s="2"/>
      <c r="BY62" s="2">
        <v>43964</v>
      </c>
      <c r="BZ62">
        <v>4.5</v>
      </c>
      <c r="CA62">
        <v>1</v>
      </c>
      <c r="CB62">
        <v>25</v>
      </c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</row>
    <row r="63" spans="2:92" x14ac:dyDescent="0.25">
      <c r="B63" s="1"/>
      <c r="C63" s="2"/>
      <c r="E63" s="3"/>
      <c r="U63" s="2"/>
      <c r="AZ63" s="14" t="s">
        <v>52</v>
      </c>
      <c r="BA63" s="2">
        <v>42137</v>
      </c>
      <c r="BB63">
        <v>2</v>
      </c>
      <c r="BC63" s="3">
        <v>26</v>
      </c>
      <c r="BD63">
        <v>1</v>
      </c>
      <c r="BE63">
        <v>0.5</v>
      </c>
      <c r="BR63" s="3">
        <v>1</v>
      </c>
      <c r="BS63" s="2">
        <v>43593</v>
      </c>
      <c r="BT63" s="1">
        <v>3.9863107460643401</v>
      </c>
      <c r="BU63" t="s">
        <v>23</v>
      </c>
      <c r="BW63" s="2"/>
      <c r="BY63" s="2">
        <v>44347</v>
      </c>
      <c r="BZ63">
        <v>4</v>
      </c>
      <c r="CA63">
        <v>0.5</v>
      </c>
      <c r="CB63">
        <v>22</v>
      </c>
    </row>
    <row r="64" spans="2:92" x14ac:dyDescent="0.25">
      <c r="B64" s="1"/>
      <c r="C64" s="2"/>
      <c r="E64" s="3"/>
      <c r="T64" s="3"/>
      <c r="U64" s="2"/>
      <c r="Y64" s="2"/>
      <c r="AZ64" s="14" t="s">
        <v>53</v>
      </c>
      <c r="BA64" s="2">
        <v>42044</v>
      </c>
      <c r="BB64">
        <v>2</v>
      </c>
      <c r="BC64" s="3">
        <v>29</v>
      </c>
      <c r="BD64">
        <v>1</v>
      </c>
      <c r="BE64">
        <v>0.5</v>
      </c>
      <c r="BR64" s="3">
        <v>1</v>
      </c>
      <c r="BS64" s="2">
        <v>44232</v>
      </c>
      <c r="BT64" s="1">
        <v>5.99041752224504</v>
      </c>
      <c r="BU64" t="s">
        <v>23</v>
      </c>
      <c r="BW64" s="2"/>
      <c r="BY64" s="2">
        <v>44678</v>
      </c>
      <c r="BZ64">
        <v>3.5</v>
      </c>
      <c r="CA64">
        <v>0.5</v>
      </c>
      <c r="CB64">
        <v>24</v>
      </c>
    </row>
    <row r="65" spans="2:92" x14ac:dyDescent="0.25">
      <c r="B65" s="1"/>
      <c r="C65" s="2"/>
      <c r="E65" s="3"/>
      <c r="T65" s="3"/>
      <c r="U65" s="2"/>
      <c r="V65" s="1"/>
      <c r="Y65" s="2"/>
      <c r="AZ65" s="9" t="s">
        <v>54</v>
      </c>
      <c r="BA65" s="2">
        <v>43333</v>
      </c>
      <c r="BB65">
        <v>2</v>
      </c>
      <c r="BC65" s="3">
        <v>27</v>
      </c>
      <c r="BD65">
        <v>2</v>
      </c>
      <c r="BE65">
        <v>0.5</v>
      </c>
      <c r="BR65">
        <v>1</v>
      </c>
      <c r="BS65" s="2">
        <v>45147</v>
      </c>
      <c r="BT65">
        <v>4.9664613278576297</v>
      </c>
      <c r="BU65" t="s">
        <v>23</v>
      </c>
      <c r="BY65" s="2">
        <v>45147</v>
      </c>
      <c r="BZ65">
        <v>7</v>
      </c>
      <c r="CA65">
        <v>1</v>
      </c>
      <c r="CB65">
        <v>23</v>
      </c>
    </row>
    <row r="66" spans="2:92" x14ac:dyDescent="0.25">
      <c r="B66" s="1"/>
      <c r="C66" s="2"/>
      <c r="E66" s="3"/>
      <c r="T66" s="3"/>
      <c r="U66" s="2"/>
      <c r="Y66" s="2"/>
      <c r="AZ66" s="14" t="s">
        <v>56</v>
      </c>
      <c r="BA66" s="2">
        <v>41948</v>
      </c>
      <c r="BB66">
        <v>2</v>
      </c>
      <c r="BC66" s="3">
        <v>28</v>
      </c>
      <c r="BD66">
        <v>2.5</v>
      </c>
      <c r="BE66">
        <v>0.5</v>
      </c>
      <c r="BF66">
        <v>4195.7</v>
      </c>
      <c r="BG66">
        <v>0.21</v>
      </c>
      <c r="BH66">
        <v>10839.2825147444</v>
      </c>
      <c r="BI66">
        <v>0.75559427083867103</v>
      </c>
      <c r="BJ66">
        <v>1309.2900734203399</v>
      </c>
      <c r="BK66">
        <v>2.27170124160659</v>
      </c>
      <c r="BL66">
        <v>424.79532532052798</v>
      </c>
      <c r="BM66">
        <v>4.0862539917447496</v>
      </c>
      <c r="BN66">
        <v>54.9</v>
      </c>
      <c r="BO66">
        <v>1.69</v>
      </c>
      <c r="BP66">
        <v>0.12079121211568625</v>
      </c>
      <c r="BQ66">
        <v>23.848635217128233</v>
      </c>
      <c r="BR66">
        <v>1</v>
      </c>
      <c r="BS66" s="2">
        <v>44593</v>
      </c>
      <c r="BT66">
        <v>7.2416153319644101</v>
      </c>
      <c r="BU66" t="s">
        <v>23</v>
      </c>
      <c r="BY66" s="2">
        <v>44593</v>
      </c>
      <c r="BZ66">
        <v>4.5</v>
      </c>
      <c r="CA66">
        <v>1</v>
      </c>
      <c r="CB66">
        <v>25</v>
      </c>
    </row>
    <row r="67" spans="2:92" x14ac:dyDescent="0.25">
      <c r="B67" s="1"/>
      <c r="C67" s="2"/>
      <c r="E67" s="3"/>
      <c r="U67" s="2"/>
      <c r="AZ67" s="14" t="s">
        <v>57</v>
      </c>
      <c r="BA67" s="2">
        <v>42585</v>
      </c>
      <c r="BB67">
        <v>2</v>
      </c>
      <c r="BC67" s="3">
        <v>24</v>
      </c>
      <c r="BD67">
        <v>1</v>
      </c>
      <c r="BE67">
        <v>0.5</v>
      </c>
      <c r="BF67">
        <v>2200.1422244508699</v>
      </c>
      <c r="BG67">
        <v>2.4678272372942298</v>
      </c>
      <c r="BH67">
        <v>5782.4657419073001</v>
      </c>
      <c r="BI67">
        <v>2.3978373686680601</v>
      </c>
      <c r="BJ67">
        <v>182.51580662138699</v>
      </c>
      <c r="BK67">
        <v>0.54146641936859297</v>
      </c>
      <c r="BL67">
        <v>578.36252533019297</v>
      </c>
      <c r="BM67">
        <v>5.1788529574398199</v>
      </c>
      <c r="BN67">
        <v>58.195999999999998</v>
      </c>
      <c r="BO67">
        <v>3.2480000000000002</v>
      </c>
      <c r="BP67">
        <v>3.1563664147396336E-2</v>
      </c>
      <c r="BQ67">
        <v>3.136225971224603</v>
      </c>
      <c r="BR67">
        <v>1</v>
      </c>
      <c r="BS67" s="2">
        <v>43370</v>
      </c>
      <c r="BT67">
        <v>2.1492128678986999</v>
      </c>
      <c r="BU67" t="s">
        <v>23</v>
      </c>
      <c r="BY67" s="2">
        <v>43370</v>
      </c>
      <c r="BZ67">
        <v>6</v>
      </c>
      <c r="CA67">
        <v>1</v>
      </c>
      <c r="CB67">
        <v>26</v>
      </c>
    </row>
    <row r="68" spans="2:92" x14ac:dyDescent="0.25">
      <c r="B68" s="1"/>
      <c r="C68" s="2"/>
      <c r="E68" s="3"/>
      <c r="U68" s="2"/>
      <c r="AZ68" s="9" t="s">
        <v>57</v>
      </c>
      <c r="BA68" s="2">
        <v>42585</v>
      </c>
      <c r="BB68">
        <v>2</v>
      </c>
      <c r="BC68" s="3">
        <v>24</v>
      </c>
      <c r="BD68">
        <v>1</v>
      </c>
      <c r="BE68">
        <v>0.5</v>
      </c>
      <c r="BF68">
        <v>2200.1422244508699</v>
      </c>
      <c r="BG68">
        <v>2.4678272372942298</v>
      </c>
      <c r="BH68">
        <v>5782.4657419073001</v>
      </c>
      <c r="BI68">
        <v>2.3978373686680601</v>
      </c>
      <c r="BJ68" s="4">
        <v>182.51580662138699</v>
      </c>
      <c r="BK68">
        <v>0.54146641936859297</v>
      </c>
      <c r="BL68" s="4">
        <v>578.36252533019297</v>
      </c>
      <c r="BM68">
        <v>5.1788529574398199</v>
      </c>
      <c r="BN68" s="4">
        <v>58.195999999999998</v>
      </c>
      <c r="BO68">
        <v>3.2480000000000002</v>
      </c>
      <c r="BP68" s="4">
        <v>3.1563664147396336E-2</v>
      </c>
      <c r="BQ68" s="4">
        <v>3.136225971224603</v>
      </c>
      <c r="BR68">
        <v>1</v>
      </c>
      <c r="BS68" s="2">
        <v>43370</v>
      </c>
      <c r="BT68">
        <v>2.1492128678986999</v>
      </c>
      <c r="BU68" t="s">
        <v>23</v>
      </c>
      <c r="BY68" s="2">
        <v>43717</v>
      </c>
      <c r="BZ68">
        <v>11</v>
      </c>
      <c r="CA68">
        <v>2</v>
      </c>
      <c r="CB68">
        <v>21</v>
      </c>
    </row>
    <row r="69" spans="2:92" x14ac:dyDescent="0.25">
      <c r="B69" s="1"/>
      <c r="C69" s="2"/>
      <c r="E69" s="3"/>
      <c r="U69" s="2"/>
      <c r="AZ69" s="9" t="s">
        <v>58</v>
      </c>
      <c r="BA69" s="2">
        <v>43124</v>
      </c>
      <c r="BB69">
        <v>2</v>
      </c>
      <c r="BC69" s="3">
        <v>28</v>
      </c>
      <c r="BD69">
        <v>2</v>
      </c>
      <c r="BE69">
        <v>0.5</v>
      </c>
      <c r="BF69">
        <v>3478.8099855422201</v>
      </c>
      <c r="BG69">
        <v>3.8700788171687601</v>
      </c>
      <c r="BH69">
        <v>9802.9770253254592</v>
      </c>
      <c r="BI69">
        <v>0.72251717526819603</v>
      </c>
      <c r="BJ69">
        <v>364.91576853810801</v>
      </c>
      <c r="BK69">
        <v>1.08079137038513</v>
      </c>
      <c r="BL69">
        <v>893.32426049173705</v>
      </c>
      <c r="BM69">
        <v>3.5720305997263502</v>
      </c>
      <c r="BN69">
        <v>138.59</v>
      </c>
      <c r="BO69">
        <v>1.3368</v>
      </c>
      <c r="BP69">
        <v>3.7224994774074031E-2</v>
      </c>
      <c r="BQ69">
        <v>2.6330598783325492</v>
      </c>
      <c r="BR69" s="3">
        <v>1</v>
      </c>
      <c r="BS69" s="2">
        <v>44509</v>
      </c>
      <c r="BT69" s="1">
        <v>3.7919233401779602</v>
      </c>
      <c r="BU69" t="s">
        <v>23</v>
      </c>
      <c r="BW69" s="2"/>
      <c r="BY69" s="2">
        <v>44509</v>
      </c>
      <c r="BZ69">
        <v>6.5</v>
      </c>
      <c r="CA69">
        <v>1</v>
      </c>
      <c r="CB69">
        <v>22</v>
      </c>
    </row>
    <row r="70" spans="2:92" x14ac:dyDescent="0.25">
      <c r="B70" s="1"/>
      <c r="C70" s="2"/>
      <c r="E70" s="3"/>
      <c r="U70" s="2"/>
      <c r="AZ70" s="9" t="s">
        <v>58</v>
      </c>
      <c r="BA70" s="2">
        <v>43124</v>
      </c>
      <c r="BB70">
        <v>2</v>
      </c>
      <c r="BC70" s="3">
        <v>28</v>
      </c>
      <c r="BD70">
        <v>2</v>
      </c>
      <c r="BE70">
        <v>0.5</v>
      </c>
      <c r="BF70">
        <v>3478.8099855422201</v>
      </c>
      <c r="BG70">
        <v>3.8700788171687601</v>
      </c>
      <c r="BH70">
        <v>9802.9770253254592</v>
      </c>
      <c r="BI70">
        <v>0.72251717526819603</v>
      </c>
      <c r="BJ70" s="4">
        <v>364.91576853810801</v>
      </c>
      <c r="BK70">
        <v>1.08079137038513</v>
      </c>
      <c r="BL70" s="4">
        <v>893.32426049173705</v>
      </c>
      <c r="BM70">
        <v>3.5720305997263502</v>
      </c>
      <c r="BN70" s="4">
        <v>138.59</v>
      </c>
      <c r="BO70">
        <v>1.3368</v>
      </c>
      <c r="BP70" s="4">
        <v>3.7224994774074031E-2</v>
      </c>
      <c r="BQ70" s="4">
        <v>2.6330598783325492</v>
      </c>
      <c r="BR70">
        <v>1</v>
      </c>
      <c r="BS70" s="2">
        <v>44509</v>
      </c>
      <c r="BT70">
        <v>3.7919233401779602</v>
      </c>
      <c r="BU70" t="s">
        <v>23</v>
      </c>
      <c r="BY70" s="2">
        <v>45083</v>
      </c>
      <c r="BZ70">
        <v>9</v>
      </c>
      <c r="CA70">
        <v>1</v>
      </c>
      <c r="CB70">
        <v>18</v>
      </c>
    </row>
    <row r="71" spans="2:92" x14ac:dyDescent="0.25">
      <c r="B71" s="1"/>
      <c r="C71" s="2"/>
      <c r="E71" s="3"/>
      <c r="T71" s="3"/>
      <c r="U71" s="2"/>
      <c r="Y71" s="2"/>
      <c r="AZ71" s="14" t="s">
        <v>59</v>
      </c>
      <c r="BA71" s="2">
        <v>43222</v>
      </c>
      <c r="BB71">
        <v>2</v>
      </c>
      <c r="BC71" s="3">
        <v>30</v>
      </c>
      <c r="BD71">
        <v>0.5</v>
      </c>
      <c r="BE71">
        <v>0.5</v>
      </c>
      <c r="BF71">
        <v>2974.0146777909599</v>
      </c>
      <c r="BG71">
        <v>4.75733866641162</v>
      </c>
      <c r="BH71">
        <v>8009.8984199040096</v>
      </c>
      <c r="BI71">
        <v>4.3872711148722701</v>
      </c>
      <c r="BJ71" s="4">
        <v>369.93607123790503</v>
      </c>
      <c r="BK71">
        <v>2.7745496081346799E-2</v>
      </c>
      <c r="BL71" s="4">
        <v>446.53858577619201</v>
      </c>
      <c r="BM71">
        <v>20.859436611853202</v>
      </c>
      <c r="BN71" s="4">
        <v>68.552000000000007</v>
      </c>
      <c r="BO71">
        <v>0.1211</v>
      </c>
      <c r="BP71" s="4">
        <v>4.6184864257284595E-2</v>
      </c>
      <c r="BQ71" s="4">
        <v>5.3964300273938761</v>
      </c>
      <c r="BR71">
        <v>1</v>
      </c>
      <c r="BS71" s="2">
        <v>45015</v>
      </c>
      <c r="BT71">
        <v>4.9089664613278599</v>
      </c>
      <c r="BU71" t="s">
        <v>23</v>
      </c>
      <c r="BY71" s="2">
        <v>45015</v>
      </c>
      <c r="BZ71">
        <v>3.5</v>
      </c>
      <c r="CA71">
        <v>0.5</v>
      </c>
      <c r="CB71">
        <v>27</v>
      </c>
    </row>
    <row r="72" spans="2:92" x14ac:dyDescent="0.25">
      <c r="AZ72" s="9" t="s">
        <v>60</v>
      </c>
      <c r="BA72" s="2">
        <v>42597</v>
      </c>
      <c r="BB72">
        <v>2</v>
      </c>
      <c r="BC72" s="3">
        <v>26</v>
      </c>
      <c r="BD72">
        <v>2.5</v>
      </c>
      <c r="BE72">
        <v>0.5</v>
      </c>
      <c r="BF72">
        <v>2415.5809655151602</v>
      </c>
      <c r="BG72">
        <v>1.55396725423117</v>
      </c>
      <c r="BH72">
        <v>6766.3854643479899</v>
      </c>
      <c r="BI72">
        <v>1.0794879036263101</v>
      </c>
      <c r="BJ72">
        <v>328.96197762695402</v>
      </c>
      <c r="BK72">
        <v>2.7796006464923702</v>
      </c>
      <c r="BL72" s="4">
        <v>567.43342376767998</v>
      </c>
      <c r="BM72">
        <v>11.0683205984481</v>
      </c>
      <c r="BN72">
        <v>59.38</v>
      </c>
      <c r="BO72">
        <v>0.15759000000000001</v>
      </c>
      <c r="BP72">
        <v>4.8617090965368592E-2</v>
      </c>
      <c r="BQ72">
        <v>5.5399457330238127</v>
      </c>
      <c r="BR72">
        <v>1</v>
      </c>
      <c r="BS72" s="2">
        <v>43683</v>
      </c>
      <c r="BT72">
        <v>2.9733059548254599</v>
      </c>
      <c r="BU72" t="s">
        <v>23</v>
      </c>
      <c r="BY72" s="2">
        <v>44420</v>
      </c>
      <c r="BZ72">
        <v>5</v>
      </c>
      <c r="CA72">
        <v>1</v>
      </c>
      <c r="CB72">
        <v>23</v>
      </c>
    </row>
    <row r="73" spans="2:92" x14ac:dyDescent="0.25">
      <c r="AZ73" s="14" t="s">
        <v>60</v>
      </c>
      <c r="BA73" s="2">
        <v>42597</v>
      </c>
      <c r="BB73">
        <v>2</v>
      </c>
      <c r="BC73" s="3">
        <v>26</v>
      </c>
      <c r="BD73">
        <v>2.5</v>
      </c>
      <c r="BE73">
        <v>0.5</v>
      </c>
      <c r="BF73">
        <v>2415.5809655151602</v>
      </c>
      <c r="BG73">
        <v>1.55396725423117</v>
      </c>
      <c r="BH73">
        <v>6766.3854643479899</v>
      </c>
      <c r="BI73">
        <v>1.0794879036263101</v>
      </c>
      <c r="BJ73">
        <v>328.96197762695402</v>
      </c>
      <c r="BK73">
        <v>2.7796006464923702</v>
      </c>
      <c r="BL73" s="4">
        <v>567.43342376767998</v>
      </c>
      <c r="BM73">
        <v>11.0683205984481</v>
      </c>
      <c r="BN73">
        <v>59.38</v>
      </c>
      <c r="BO73">
        <v>0.15759000000000001</v>
      </c>
      <c r="BP73">
        <v>4.8617090965368592E-2</v>
      </c>
      <c r="BQ73">
        <v>5.5399457330238127</v>
      </c>
      <c r="BR73">
        <v>1</v>
      </c>
      <c r="BS73" s="2">
        <v>43683</v>
      </c>
      <c r="BT73">
        <v>2.9733059548254599</v>
      </c>
      <c r="BU73" t="s">
        <v>23</v>
      </c>
      <c r="BY73" s="2">
        <v>44841</v>
      </c>
      <c r="BZ73" t="s">
        <v>32</v>
      </c>
      <c r="CA73" t="s">
        <v>32</v>
      </c>
      <c r="CB73">
        <v>25</v>
      </c>
      <c r="CE73">
        <v>8677</v>
      </c>
      <c r="CG73" s="4">
        <v>386</v>
      </c>
      <c r="CI73" s="4">
        <v>599</v>
      </c>
      <c r="CK73" s="4">
        <v>90.8</v>
      </c>
      <c r="CM73" s="4">
        <v>4.4485421228535209E-2</v>
      </c>
      <c r="CN73" s="4">
        <v>4.251101321585903</v>
      </c>
    </row>
    <row r="74" spans="2:92" x14ac:dyDescent="0.25">
      <c r="AZ74" s="14" t="s">
        <v>60</v>
      </c>
      <c r="BA74" s="2">
        <v>42597</v>
      </c>
      <c r="BB74">
        <v>2</v>
      </c>
      <c r="BC74" s="3">
        <v>26</v>
      </c>
      <c r="BD74">
        <v>2.5</v>
      </c>
      <c r="BE74">
        <v>0.5</v>
      </c>
      <c r="BF74">
        <v>2415.5809655151602</v>
      </c>
      <c r="BG74">
        <v>1.55396725423117</v>
      </c>
      <c r="BH74">
        <v>6766.3854643479899</v>
      </c>
      <c r="BI74">
        <v>1.0794879036263101</v>
      </c>
      <c r="BJ74">
        <v>328.96197762695402</v>
      </c>
      <c r="BK74">
        <v>2.7796006464923702</v>
      </c>
      <c r="BL74" s="4">
        <v>567.43342376767998</v>
      </c>
      <c r="BM74">
        <v>11.0683205984481</v>
      </c>
      <c r="BN74">
        <v>59.38</v>
      </c>
      <c r="BO74">
        <v>0.15759000000000001</v>
      </c>
      <c r="BP74">
        <v>4.8617090965368592E-2</v>
      </c>
      <c r="BQ74">
        <v>5.5399457330238127</v>
      </c>
      <c r="BR74">
        <v>1</v>
      </c>
      <c r="BS74" s="2">
        <v>43683</v>
      </c>
      <c r="BT74">
        <v>2.9733059548254599</v>
      </c>
      <c r="BU74" t="s">
        <v>23</v>
      </c>
      <c r="BY74" s="2">
        <v>45142</v>
      </c>
      <c r="BZ74">
        <v>8.5</v>
      </c>
      <c r="CA74">
        <v>2</v>
      </c>
      <c r="CB74">
        <v>25</v>
      </c>
    </row>
    <row r="75" spans="2:92" x14ac:dyDescent="0.25">
      <c r="AZ75" s="9" t="s">
        <v>61</v>
      </c>
      <c r="BA75" s="2">
        <v>42012</v>
      </c>
      <c r="BB75">
        <v>2</v>
      </c>
      <c r="BC75" s="3">
        <v>30</v>
      </c>
      <c r="BD75" t="s">
        <v>32</v>
      </c>
      <c r="BE75" t="s">
        <v>32</v>
      </c>
      <c r="BF75">
        <v>2603.2231034645201</v>
      </c>
      <c r="BG75">
        <v>1.4114820612733101</v>
      </c>
      <c r="BH75">
        <v>6323.7285542338896</v>
      </c>
      <c r="BI75">
        <v>1.79131677313051</v>
      </c>
      <c r="BJ75" s="4">
        <v>272.81961331137001</v>
      </c>
      <c r="BK75">
        <v>2.0975741008783602</v>
      </c>
      <c r="BL75" s="4">
        <v>487.13098948920998</v>
      </c>
      <c r="BM75">
        <v>4.1899599881057599</v>
      </c>
      <c r="BN75" s="4">
        <v>75.400000000000006</v>
      </c>
      <c r="BO75">
        <v>1.43</v>
      </c>
      <c r="BP75" s="4">
        <v>4.3142208108966136E-2</v>
      </c>
      <c r="BQ75" s="4">
        <v>3.6182972587714852</v>
      </c>
      <c r="BR75">
        <v>1</v>
      </c>
      <c r="BS75" s="2">
        <v>43784</v>
      </c>
      <c r="BT75">
        <v>4.8514715947980802</v>
      </c>
      <c r="BU75" t="s">
        <v>23</v>
      </c>
      <c r="BY75" s="2">
        <v>43784</v>
      </c>
      <c r="BZ75">
        <v>12</v>
      </c>
      <c r="CA75">
        <v>2</v>
      </c>
      <c r="CB75">
        <v>18</v>
      </c>
    </row>
    <row r="76" spans="2:92" x14ac:dyDescent="0.25">
      <c r="AZ76" s="9" t="s">
        <v>61</v>
      </c>
      <c r="BA76" s="2">
        <v>42012</v>
      </c>
      <c r="BB76">
        <v>2</v>
      </c>
      <c r="BC76" s="3">
        <v>30</v>
      </c>
      <c r="BD76" t="s">
        <v>32</v>
      </c>
      <c r="BE76" t="s">
        <v>32</v>
      </c>
      <c r="BF76">
        <v>2603.2231034645201</v>
      </c>
      <c r="BG76">
        <v>1.4114820612733101</v>
      </c>
      <c r="BH76">
        <v>6323.7285542338896</v>
      </c>
      <c r="BI76">
        <v>1.79131677313051</v>
      </c>
      <c r="BJ76" s="4">
        <v>272.81961331137001</v>
      </c>
      <c r="BK76">
        <v>2.0975741008783602</v>
      </c>
      <c r="BL76" s="4">
        <v>487.13098948920998</v>
      </c>
      <c r="BM76">
        <v>4.1899599881057599</v>
      </c>
      <c r="BN76" s="4">
        <v>75.400000000000006</v>
      </c>
      <c r="BO76">
        <v>1.43</v>
      </c>
      <c r="BP76" s="4">
        <v>4.3142208108966136E-2</v>
      </c>
      <c r="BQ76" s="4">
        <v>3.6182972587714852</v>
      </c>
      <c r="BR76">
        <v>1</v>
      </c>
      <c r="BS76" s="2">
        <v>43784</v>
      </c>
      <c r="BT76">
        <v>4.8514715947980802</v>
      </c>
      <c r="BU76" t="s">
        <v>23</v>
      </c>
      <c r="BY76" s="2">
        <v>44155</v>
      </c>
      <c r="BZ76">
        <v>9</v>
      </c>
      <c r="CA76">
        <v>1</v>
      </c>
      <c r="CB76">
        <v>12</v>
      </c>
    </row>
    <row r="77" spans="2:92" x14ac:dyDescent="0.25">
      <c r="AZ77" s="9" t="s">
        <v>62</v>
      </c>
      <c r="BA77" s="2">
        <v>42536</v>
      </c>
      <c r="BB77">
        <v>2</v>
      </c>
      <c r="BC77" s="3">
        <v>27</v>
      </c>
      <c r="BD77">
        <v>2.5</v>
      </c>
      <c r="BE77">
        <v>0.5</v>
      </c>
      <c r="BJ77" s="4"/>
      <c r="BL77" s="4"/>
      <c r="BN77" s="4"/>
      <c r="BP77" s="4"/>
      <c r="BQ77" s="4"/>
      <c r="BR77">
        <v>1</v>
      </c>
      <c r="BS77" s="2">
        <v>43276</v>
      </c>
      <c r="BT77">
        <v>2.02600958247776</v>
      </c>
      <c r="BU77" t="s">
        <v>23</v>
      </c>
      <c r="BY77" s="2">
        <v>43276</v>
      </c>
      <c r="BZ77">
        <v>6</v>
      </c>
      <c r="CA77">
        <v>1</v>
      </c>
      <c r="CB77">
        <v>23</v>
      </c>
      <c r="CC77">
        <v>3103.2707040229002</v>
      </c>
      <c r="CD77">
        <v>1.00630279443035</v>
      </c>
      <c r="CE77">
        <v>9176.8952325848095</v>
      </c>
      <c r="CF77">
        <v>3.0377589837249999</v>
      </c>
      <c r="CG77" s="4">
        <v>449.00302705190398</v>
      </c>
      <c r="CH77">
        <v>1.7162090927787099</v>
      </c>
      <c r="CI77" s="4">
        <v>562.03101769345801</v>
      </c>
      <c r="CJ77">
        <v>0.217543570066936</v>
      </c>
      <c r="CK77" s="4">
        <v>94.05</v>
      </c>
      <c r="CL77">
        <v>3.3052000000000001</v>
      </c>
      <c r="CM77" s="4">
        <v>4.8927552911098841E-2</v>
      </c>
      <c r="CN77" s="4">
        <v>4.7740885385635723</v>
      </c>
    </row>
    <row r="78" spans="2:92" x14ac:dyDescent="0.25">
      <c r="AZ78" s="9" t="s">
        <v>62</v>
      </c>
      <c r="BA78" s="2">
        <v>42536</v>
      </c>
      <c r="BB78">
        <v>2</v>
      </c>
      <c r="BC78" s="3">
        <v>27</v>
      </c>
      <c r="BD78">
        <v>2.5</v>
      </c>
      <c r="BE78">
        <v>0.5</v>
      </c>
      <c r="BJ78" s="4"/>
      <c r="BL78" s="4"/>
      <c r="BN78" s="4"/>
      <c r="BP78" s="4"/>
      <c r="BQ78" s="4"/>
      <c r="BR78">
        <v>1</v>
      </c>
      <c r="BS78" s="2">
        <v>43276</v>
      </c>
      <c r="BT78">
        <v>2.02600958247776</v>
      </c>
      <c r="BU78" t="s">
        <v>23</v>
      </c>
      <c r="BY78" s="2">
        <v>43640</v>
      </c>
      <c r="BZ78">
        <v>5.5</v>
      </c>
      <c r="CA78">
        <v>1</v>
      </c>
      <c r="CB78">
        <v>22</v>
      </c>
    </row>
    <row r="79" spans="2:92" x14ac:dyDescent="0.25">
      <c r="AZ79" s="9" t="s">
        <v>63</v>
      </c>
      <c r="BA79" s="2">
        <v>43123</v>
      </c>
      <c r="BB79">
        <v>2</v>
      </c>
      <c r="BC79" s="3">
        <v>29</v>
      </c>
      <c r="BD79">
        <v>0.5</v>
      </c>
      <c r="BE79">
        <v>0.5</v>
      </c>
      <c r="BR79">
        <v>1</v>
      </c>
      <c r="BS79" s="2">
        <v>43495</v>
      </c>
      <c r="BT79">
        <v>1.0184804928131399</v>
      </c>
      <c r="BU79" t="s">
        <v>23</v>
      </c>
      <c r="BY79" s="2">
        <v>44267</v>
      </c>
      <c r="BZ79">
        <v>9</v>
      </c>
      <c r="CA79">
        <v>1</v>
      </c>
      <c r="CB79">
        <v>18</v>
      </c>
    </row>
    <row r="80" spans="2:92" x14ac:dyDescent="0.25">
      <c r="AZ80" s="9" t="s">
        <v>63</v>
      </c>
      <c r="BA80" s="2">
        <v>43123</v>
      </c>
      <c r="BB80">
        <v>2</v>
      </c>
      <c r="BC80" s="3">
        <v>29</v>
      </c>
      <c r="BD80">
        <v>0.5</v>
      </c>
      <c r="BE80">
        <v>0.5</v>
      </c>
      <c r="BR80">
        <v>1</v>
      </c>
      <c r="BS80" s="2">
        <v>43495</v>
      </c>
      <c r="BT80">
        <v>1.0184804928131399</v>
      </c>
      <c r="BU80" t="s">
        <v>23</v>
      </c>
      <c r="BY80" s="2">
        <v>44756</v>
      </c>
      <c r="BZ80">
        <v>12</v>
      </c>
      <c r="CA80">
        <v>2</v>
      </c>
      <c r="CB80">
        <v>10</v>
      </c>
    </row>
    <row r="81" spans="52:92" x14ac:dyDescent="0.25">
      <c r="AZ81" s="14" t="s">
        <v>66</v>
      </c>
      <c r="BA81" s="2">
        <v>42150</v>
      </c>
      <c r="BB81">
        <v>2</v>
      </c>
      <c r="BC81" s="3">
        <v>30</v>
      </c>
      <c r="BD81">
        <v>1.5</v>
      </c>
      <c r="BE81">
        <v>0.5</v>
      </c>
      <c r="BF81">
        <v>2660.2968158440499</v>
      </c>
      <c r="BG81">
        <v>1.6424668229491199</v>
      </c>
      <c r="BH81">
        <v>7332.1511589440597</v>
      </c>
      <c r="BI81">
        <v>0.22644407199911401</v>
      </c>
      <c r="BJ81">
        <v>456.66192529244302</v>
      </c>
      <c r="BK81">
        <v>0.92282115219108596</v>
      </c>
      <c r="BL81">
        <v>386.816525181158</v>
      </c>
      <c r="BM81">
        <v>5.3704090593261498</v>
      </c>
      <c r="BN81">
        <v>67.7</v>
      </c>
      <c r="BO81">
        <v>1.47</v>
      </c>
      <c r="BP81">
        <v>6.2282120948282414E-2</v>
      </c>
      <c r="BQ81">
        <v>6.7453755582340174</v>
      </c>
      <c r="BR81">
        <v>1</v>
      </c>
      <c r="BS81" s="2">
        <v>43607</v>
      </c>
      <c r="BT81">
        <v>3.98904859685147</v>
      </c>
      <c r="BU81" t="s">
        <v>23</v>
      </c>
      <c r="BY81" s="2">
        <v>43607</v>
      </c>
      <c r="BZ81">
        <v>5</v>
      </c>
      <c r="CA81">
        <v>1</v>
      </c>
      <c r="CB81">
        <v>28</v>
      </c>
    </row>
    <row r="82" spans="52:92" x14ac:dyDescent="0.25">
      <c r="AZ82" s="9" t="s">
        <v>66</v>
      </c>
      <c r="BA82" s="2">
        <v>42150</v>
      </c>
      <c r="BB82">
        <v>2</v>
      </c>
      <c r="BC82" s="3">
        <v>30</v>
      </c>
      <c r="BD82">
        <v>1.5</v>
      </c>
      <c r="BE82">
        <v>0.5</v>
      </c>
      <c r="BF82">
        <v>2660.2968158440499</v>
      </c>
      <c r="BG82">
        <v>1.6424668229491199</v>
      </c>
      <c r="BH82">
        <v>7332.1511589440597</v>
      </c>
      <c r="BI82">
        <v>0.22644407199911401</v>
      </c>
      <c r="BJ82">
        <v>456.66192529244302</v>
      </c>
      <c r="BK82">
        <v>0.92282115219108596</v>
      </c>
      <c r="BL82">
        <v>386.816525181158</v>
      </c>
      <c r="BM82">
        <v>5.3704090593261498</v>
      </c>
      <c r="BN82">
        <v>67.7</v>
      </c>
      <c r="BO82">
        <v>1.47</v>
      </c>
      <c r="BP82">
        <v>6.2282120948282414E-2</v>
      </c>
      <c r="BQ82">
        <v>6.7453755582340174</v>
      </c>
      <c r="BR82">
        <v>1</v>
      </c>
      <c r="BS82" s="2">
        <v>43607</v>
      </c>
      <c r="BT82">
        <v>3.98904859685147</v>
      </c>
      <c r="BU82" t="s">
        <v>23</v>
      </c>
      <c r="BY82" s="2">
        <v>43985</v>
      </c>
      <c r="BZ82">
        <v>5.5</v>
      </c>
      <c r="CA82">
        <v>1</v>
      </c>
      <c r="CB82">
        <v>21</v>
      </c>
    </row>
    <row r="83" spans="52:92" x14ac:dyDescent="0.25">
      <c r="AZ83" s="14" t="s">
        <v>66</v>
      </c>
      <c r="BA83" s="2">
        <v>42150</v>
      </c>
      <c r="BB83">
        <v>2</v>
      </c>
      <c r="BC83" s="3">
        <v>30</v>
      </c>
      <c r="BD83">
        <v>1.5</v>
      </c>
      <c r="BE83">
        <v>0.5</v>
      </c>
      <c r="BF83">
        <v>2660.2968158440499</v>
      </c>
      <c r="BG83">
        <v>1.6424668229491199</v>
      </c>
      <c r="BH83">
        <v>7332.1511589440597</v>
      </c>
      <c r="BI83">
        <v>0.22644407199911401</v>
      </c>
      <c r="BJ83">
        <v>456.66192529244302</v>
      </c>
      <c r="BK83">
        <v>0.92282115219108596</v>
      </c>
      <c r="BL83">
        <v>386.816525181158</v>
      </c>
      <c r="BM83">
        <v>5.3704090593261498</v>
      </c>
      <c r="BN83">
        <v>67.7</v>
      </c>
      <c r="BO83">
        <v>1.47</v>
      </c>
      <c r="BP83">
        <v>6.2282120948282414E-2</v>
      </c>
      <c r="BQ83">
        <v>6.7453755582340174</v>
      </c>
      <c r="BR83">
        <v>1</v>
      </c>
      <c r="BS83" s="2">
        <v>43607</v>
      </c>
      <c r="BT83">
        <v>3.98904859685147</v>
      </c>
      <c r="BU83" t="s">
        <v>23</v>
      </c>
      <c r="BY83" s="2">
        <v>44347</v>
      </c>
      <c r="BZ83">
        <v>5.5</v>
      </c>
      <c r="CA83">
        <v>1</v>
      </c>
      <c r="CB83">
        <v>25</v>
      </c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</row>
    <row r="84" spans="52:92" x14ac:dyDescent="0.25">
      <c r="AZ84" s="9" t="s">
        <v>66</v>
      </c>
      <c r="BA84" s="2">
        <v>42150</v>
      </c>
      <c r="BB84">
        <v>2</v>
      </c>
      <c r="BC84" s="3">
        <v>30</v>
      </c>
      <c r="BD84">
        <v>1.5</v>
      </c>
      <c r="BE84">
        <v>0.5</v>
      </c>
      <c r="BF84">
        <v>2660.2968158440499</v>
      </c>
      <c r="BG84">
        <v>1.6424668229491199</v>
      </c>
      <c r="BH84">
        <v>7332.1511589440597</v>
      </c>
      <c r="BI84">
        <v>0.22644407199911401</v>
      </c>
      <c r="BJ84">
        <v>456.66192529244302</v>
      </c>
      <c r="BK84">
        <v>0.92282115219108596</v>
      </c>
      <c r="BL84">
        <v>386.816525181158</v>
      </c>
      <c r="BM84">
        <v>5.3704090593261498</v>
      </c>
      <c r="BN84">
        <v>67.7</v>
      </c>
      <c r="BO84">
        <v>1.47</v>
      </c>
      <c r="BP84">
        <v>6.2282120948282414E-2</v>
      </c>
      <c r="BQ84">
        <v>6.7453755582340174</v>
      </c>
      <c r="BR84">
        <v>1</v>
      </c>
      <c r="BS84" s="2">
        <v>43607</v>
      </c>
      <c r="BT84">
        <v>3.98904859685147</v>
      </c>
      <c r="BU84" t="s">
        <v>23</v>
      </c>
      <c r="BY84" s="2">
        <v>44699</v>
      </c>
      <c r="BZ84">
        <v>7</v>
      </c>
      <c r="CA84">
        <v>1</v>
      </c>
      <c r="CB84">
        <v>20</v>
      </c>
    </row>
    <row r="85" spans="52:92" x14ac:dyDescent="0.25">
      <c r="AZ85" s="9" t="s">
        <v>67</v>
      </c>
      <c r="BA85" s="2">
        <v>41806</v>
      </c>
      <c r="BB85">
        <v>2</v>
      </c>
      <c r="BC85" s="3">
        <v>27</v>
      </c>
      <c r="BD85">
        <v>3</v>
      </c>
      <c r="BE85">
        <v>0.5</v>
      </c>
      <c r="BR85">
        <v>1</v>
      </c>
      <c r="BS85" s="2">
        <v>42177</v>
      </c>
      <c r="BT85">
        <v>1.0157426420260101</v>
      </c>
      <c r="BU85" t="s">
        <v>23</v>
      </c>
      <c r="BY85" s="2">
        <v>42177</v>
      </c>
      <c r="BZ85">
        <v>6.5</v>
      </c>
      <c r="CA85">
        <v>1</v>
      </c>
      <c r="CB85">
        <v>23</v>
      </c>
    </row>
    <row r="86" spans="52:92" x14ac:dyDescent="0.25">
      <c r="AZ86" s="14" t="s">
        <v>68</v>
      </c>
      <c r="BA86" s="2">
        <v>43139</v>
      </c>
      <c r="BB86">
        <v>2</v>
      </c>
      <c r="BC86" s="3">
        <v>29</v>
      </c>
      <c r="BD86">
        <v>0.5</v>
      </c>
      <c r="BE86">
        <v>0.5</v>
      </c>
      <c r="BR86">
        <v>1</v>
      </c>
      <c r="BS86" s="2">
        <v>43864</v>
      </c>
      <c r="BT86">
        <v>1.9849418206707701</v>
      </c>
      <c r="BU86" t="s">
        <v>23</v>
      </c>
      <c r="BY86" s="2">
        <v>44249</v>
      </c>
      <c r="BZ86">
        <v>4</v>
      </c>
      <c r="CA86">
        <v>0.5</v>
      </c>
      <c r="CB86">
        <v>22</v>
      </c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</row>
    <row r="87" spans="52:92" x14ac:dyDescent="0.25">
      <c r="AZ87" s="14" t="s">
        <v>89</v>
      </c>
      <c r="BA87" s="2">
        <v>43643</v>
      </c>
      <c r="BC87" s="3">
        <v>27</v>
      </c>
      <c r="BD87">
        <v>0.5</v>
      </c>
      <c r="BE87">
        <v>0.5</v>
      </c>
      <c r="BR87">
        <v>1</v>
      </c>
      <c r="BS87" s="2">
        <v>44729</v>
      </c>
      <c r="BT87">
        <v>7.0225872689938402</v>
      </c>
      <c r="BU87" t="s">
        <v>100</v>
      </c>
      <c r="BV87">
        <v>1</v>
      </c>
      <c r="BW87" s="2">
        <v>43643</v>
      </c>
      <c r="BX87">
        <v>4.0492813141683799</v>
      </c>
      <c r="BY87" s="2">
        <v>44729</v>
      </c>
      <c r="BZ87">
        <v>1</v>
      </c>
      <c r="CA87">
        <v>0.5</v>
      </c>
      <c r="CB87">
        <v>23</v>
      </c>
    </row>
    <row r="88" spans="52:92" x14ac:dyDescent="0.25">
      <c r="AZ88" s="9" t="s">
        <v>89</v>
      </c>
      <c r="BA88" s="2">
        <v>43643</v>
      </c>
      <c r="BC88" s="3">
        <v>27</v>
      </c>
      <c r="BD88">
        <v>0.5</v>
      </c>
      <c r="BE88">
        <v>0.5</v>
      </c>
      <c r="BR88">
        <v>1</v>
      </c>
      <c r="BS88" s="2">
        <v>44729</v>
      </c>
      <c r="BT88">
        <v>7.0225872689938402</v>
      </c>
      <c r="BU88" t="s">
        <v>100</v>
      </c>
      <c r="BV88">
        <v>1</v>
      </c>
      <c r="BW88" s="2">
        <v>43643</v>
      </c>
      <c r="BX88">
        <v>4.0492813141683799</v>
      </c>
      <c r="BY88" s="2">
        <v>45086</v>
      </c>
      <c r="BZ88">
        <v>4.5</v>
      </c>
      <c r="CA88">
        <v>1</v>
      </c>
      <c r="CB88">
        <v>24</v>
      </c>
    </row>
    <row r="89" spans="52:92" x14ac:dyDescent="0.25">
      <c r="AZ89" s="9" t="s">
        <v>90</v>
      </c>
      <c r="BA89" s="2">
        <v>44550</v>
      </c>
      <c r="BC89" s="3">
        <v>30</v>
      </c>
      <c r="BD89">
        <v>3.5</v>
      </c>
      <c r="BE89">
        <v>0.5</v>
      </c>
      <c r="BH89">
        <v>9654</v>
      </c>
      <c r="BJ89">
        <v>562</v>
      </c>
      <c r="BL89">
        <v>476</v>
      </c>
      <c r="BN89">
        <v>77.5</v>
      </c>
      <c r="BP89">
        <v>5.821421172570955E-2</v>
      </c>
      <c r="BQ89">
        <v>7.2516129032258068</v>
      </c>
      <c r="BR89">
        <v>1</v>
      </c>
      <c r="BS89" s="2">
        <v>45294</v>
      </c>
      <c r="BT89">
        <v>6.0396988364134199</v>
      </c>
      <c r="BU89" t="s">
        <v>100</v>
      </c>
      <c r="BV89">
        <v>1</v>
      </c>
      <c r="BW89" s="2">
        <v>44550</v>
      </c>
      <c r="BX89">
        <v>4.0027378507871303</v>
      </c>
      <c r="BY89" s="2">
        <v>45294</v>
      </c>
      <c r="BZ89">
        <v>5</v>
      </c>
      <c r="CA89">
        <v>1</v>
      </c>
      <c r="CB89">
        <v>23</v>
      </c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</row>
    <row r="90" spans="52:92" x14ac:dyDescent="0.25">
      <c r="AZ90" s="9" t="s">
        <v>69</v>
      </c>
      <c r="BA90" s="2">
        <v>42451</v>
      </c>
      <c r="BB90">
        <v>2</v>
      </c>
      <c r="BC90" s="3">
        <v>29</v>
      </c>
      <c r="BD90">
        <v>1.5</v>
      </c>
      <c r="BE90">
        <v>0.5</v>
      </c>
      <c r="BF90">
        <v>3548.9624704080102</v>
      </c>
      <c r="BG90">
        <v>0.72673221626281204</v>
      </c>
      <c r="BH90">
        <v>8832.2175418635197</v>
      </c>
      <c r="BI90">
        <v>6.1239294809451099</v>
      </c>
      <c r="BJ90" s="4">
        <v>298.456459423475</v>
      </c>
      <c r="BK90">
        <v>0.76233508149546803</v>
      </c>
      <c r="BL90" s="4">
        <v>895.67778523266497</v>
      </c>
      <c r="BM90">
        <v>2.7805250210522701</v>
      </c>
      <c r="BN90" s="4">
        <v>103.96</v>
      </c>
      <c r="BO90">
        <v>0.11632000000000001</v>
      </c>
      <c r="BP90" s="4">
        <v>3.379179215285761E-2</v>
      </c>
      <c r="BQ90" s="4">
        <v>2.8708778320842154</v>
      </c>
      <c r="BR90">
        <v>1</v>
      </c>
      <c r="BS90" s="2">
        <v>44705</v>
      </c>
      <c r="BT90">
        <v>6.17111567419576</v>
      </c>
      <c r="BU90" t="s">
        <v>23</v>
      </c>
      <c r="BY90" s="2">
        <v>44705</v>
      </c>
      <c r="BZ90">
        <v>4.5</v>
      </c>
      <c r="CA90">
        <v>1</v>
      </c>
      <c r="CB90">
        <v>22</v>
      </c>
      <c r="CE90" t="s">
        <v>121</v>
      </c>
      <c r="CG90" t="s">
        <v>121</v>
      </c>
      <c r="CI90" t="s">
        <v>121</v>
      </c>
      <c r="CK90" t="s">
        <v>121</v>
      </c>
      <c r="CM90" t="s">
        <v>121</v>
      </c>
      <c r="CN90" t="s">
        <v>121</v>
      </c>
    </row>
    <row r="91" spans="52:92" x14ac:dyDescent="0.25">
      <c r="AZ91" s="9" t="s">
        <v>69</v>
      </c>
      <c r="BA91" s="2">
        <v>42451</v>
      </c>
      <c r="BB91">
        <v>2</v>
      </c>
      <c r="BC91" s="3">
        <v>29</v>
      </c>
      <c r="BD91">
        <v>1.5</v>
      </c>
      <c r="BE91">
        <v>0.5</v>
      </c>
      <c r="BF91">
        <v>3548.9624704080102</v>
      </c>
      <c r="BG91">
        <v>0.72673221626281204</v>
      </c>
      <c r="BH91">
        <v>8832.2175418635197</v>
      </c>
      <c r="BI91">
        <v>6.1239294809451099</v>
      </c>
      <c r="BJ91" s="4">
        <v>298.456459423475</v>
      </c>
      <c r="BK91">
        <v>0.76233508149546803</v>
      </c>
      <c r="BL91" s="4">
        <v>895.67778523266497</v>
      </c>
      <c r="BM91">
        <v>2.7805250210522701</v>
      </c>
      <c r="BN91">
        <v>103.96</v>
      </c>
      <c r="BO91">
        <v>0.11632000000000001</v>
      </c>
      <c r="BP91" s="4">
        <v>3.379179215285761E-2</v>
      </c>
      <c r="BQ91" s="4">
        <v>2.8708778320842154</v>
      </c>
      <c r="BR91">
        <v>1</v>
      </c>
      <c r="BS91" s="2">
        <v>44705</v>
      </c>
      <c r="BT91">
        <v>6.17111567419576</v>
      </c>
      <c r="BU91" t="s">
        <v>23</v>
      </c>
      <c r="BY91" s="2">
        <v>44705</v>
      </c>
      <c r="BZ91">
        <v>4.5</v>
      </c>
      <c r="CA91">
        <v>1</v>
      </c>
      <c r="CB91">
        <v>22</v>
      </c>
    </row>
    <row r="92" spans="52:92" x14ac:dyDescent="0.25">
      <c r="AZ92" s="14" t="s">
        <v>70</v>
      </c>
      <c r="BA92" s="2">
        <v>42298</v>
      </c>
      <c r="BB92">
        <v>2</v>
      </c>
      <c r="BC92" s="3">
        <v>27</v>
      </c>
      <c r="BD92">
        <v>2.5</v>
      </c>
      <c r="BE92">
        <v>0.5</v>
      </c>
      <c r="BF92">
        <v>2007.80090674543</v>
      </c>
      <c r="BG92">
        <v>9.6383696753252295</v>
      </c>
      <c r="BH92">
        <v>7071.5004401239403</v>
      </c>
      <c r="BI92">
        <v>6.7134480919950796</v>
      </c>
      <c r="BJ92" s="4">
        <v>286.74646782648801</v>
      </c>
      <c r="BK92">
        <v>1.0669013036114301</v>
      </c>
      <c r="BL92" s="4">
        <v>638.49441621593803</v>
      </c>
      <c r="BM92">
        <v>2.6544546515449401</v>
      </c>
      <c r="BN92">
        <v>64.3</v>
      </c>
      <c r="BO92">
        <v>0.88300000000000001</v>
      </c>
      <c r="BP92" s="4">
        <v>4.0549593435571123E-2</v>
      </c>
      <c r="BQ92" s="4">
        <v>4.4595096084990358</v>
      </c>
      <c r="BR92">
        <v>1</v>
      </c>
      <c r="BS92" s="2">
        <v>43724</v>
      </c>
      <c r="BT92">
        <v>3.9041752224503798</v>
      </c>
      <c r="BU92" t="s">
        <v>23</v>
      </c>
      <c r="BY92" s="2">
        <v>44130</v>
      </c>
      <c r="BZ92">
        <v>4</v>
      </c>
      <c r="CA92">
        <v>0.5</v>
      </c>
      <c r="CB92">
        <v>23</v>
      </c>
      <c r="CE92" t="s">
        <v>121</v>
      </c>
      <c r="CG92" t="s">
        <v>121</v>
      </c>
      <c r="CI92" t="s">
        <v>121</v>
      </c>
      <c r="CK92" t="s">
        <v>121</v>
      </c>
      <c r="CM92" t="s">
        <v>121</v>
      </c>
      <c r="CN92" t="s">
        <v>121</v>
      </c>
    </row>
    <row r="93" spans="52:92" x14ac:dyDescent="0.25">
      <c r="AZ93" s="14" t="s">
        <v>70</v>
      </c>
      <c r="BA93" s="2">
        <v>42298</v>
      </c>
      <c r="BB93">
        <v>2</v>
      </c>
      <c r="BC93" s="3">
        <v>27</v>
      </c>
      <c r="BD93">
        <v>2.5</v>
      </c>
      <c r="BE93">
        <v>0.5</v>
      </c>
      <c r="BF93">
        <v>2007.80090674543</v>
      </c>
      <c r="BG93">
        <v>9.6383696753252295</v>
      </c>
      <c r="BH93">
        <v>7071.5004401239403</v>
      </c>
      <c r="BI93">
        <v>6.7134480919950796</v>
      </c>
      <c r="BJ93" s="4">
        <v>286.74646782648801</v>
      </c>
      <c r="BK93">
        <v>1.0669013036114301</v>
      </c>
      <c r="BL93" s="4">
        <v>638.49441621593803</v>
      </c>
      <c r="BM93">
        <v>2.6544546515449401</v>
      </c>
      <c r="BN93" s="4">
        <v>64.3</v>
      </c>
      <c r="BO93">
        <v>0.88300000000000001</v>
      </c>
      <c r="BP93" s="4">
        <v>4.0549593435571123E-2</v>
      </c>
      <c r="BQ93" s="4">
        <v>4.4595096084990358</v>
      </c>
      <c r="BR93">
        <v>1</v>
      </c>
      <c r="BS93" s="2">
        <v>43724</v>
      </c>
      <c r="BT93">
        <v>3.9041752224503798</v>
      </c>
      <c r="BU93" t="s">
        <v>23</v>
      </c>
      <c r="BY93" s="2">
        <v>44130</v>
      </c>
      <c r="BZ93">
        <v>4</v>
      </c>
      <c r="CA93">
        <v>0.5</v>
      </c>
      <c r="CB93">
        <v>23</v>
      </c>
    </row>
    <row r="94" spans="52:92" x14ac:dyDescent="0.25">
      <c r="AZ94" s="9" t="s">
        <v>71</v>
      </c>
      <c r="BA94" s="2">
        <v>42530</v>
      </c>
      <c r="BB94">
        <v>2</v>
      </c>
      <c r="BC94" s="3">
        <v>29</v>
      </c>
      <c r="BD94">
        <v>0.5</v>
      </c>
      <c r="BE94">
        <v>0.5</v>
      </c>
      <c r="BF94">
        <v>3545.7167692989001</v>
      </c>
      <c r="BG94">
        <v>0.14392962261419201</v>
      </c>
      <c r="BH94">
        <v>9450.7424110522406</v>
      </c>
      <c r="BI94">
        <v>1.2996097428442801</v>
      </c>
      <c r="BJ94" s="4">
        <v>469.89578690466197</v>
      </c>
      <c r="BK94">
        <v>0.95355287399074296</v>
      </c>
      <c r="BL94" s="4">
        <v>978.01648930103295</v>
      </c>
      <c r="BM94">
        <v>2.1505121233116702</v>
      </c>
      <c r="BN94" s="4">
        <v>95.766000000000005</v>
      </c>
      <c r="BO94">
        <v>0.77309000000000005</v>
      </c>
      <c r="BP94" s="4">
        <v>4.972051575071381E-2</v>
      </c>
      <c r="BQ94" s="4">
        <v>4.9067078807161408</v>
      </c>
      <c r="BR94">
        <v>1</v>
      </c>
      <c r="BS94" s="2">
        <v>44386</v>
      </c>
      <c r="BT94">
        <v>5.0814510609171801</v>
      </c>
      <c r="BU94" t="s">
        <v>23</v>
      </c>
      <c r="BY94" s="2">
        <v>44386</v>
      </c>
      <c r="BZ94">
        <v>5.5</v>
      </c>
      <c r="CA94">
        <v>1</v>
      </c>
      <c r="CB94">
        <v>24</v>
      </c>
      <c r="CE94" t="s">
        <v>121</v>
      </c>
      <c r="CG94" t="s">
        <v>121</v>
      </c>
      <c r="CI94" t="s">
        <v>121</v>
      </c>
      <c r="CK94" t="s">
        <v>121</v>
      </c>
      <c r="CM94" t="s">
        <v>121</v>
      </c>
      <c r="CN94" t="s">
        <v>121</v>
      </c>
    </row>
    <row r="95" spans="52:92" x14ac:dyDescent="0.25">
      <c r="AZ95" s="9" t="s">
        <v>71</v>
      </c>
      <c r="BA95" s="2">
        <v>42530</v>
      </c>
      <c r="BB95">
        <v>2</v>
      </c>
      <c r="BC95" s="3">
        <v>29</v>
      </c>
      <c r="BD95">
        <v>0.5</v>
      </c>
      <c r="BE95">
        <v>0.5</v>
      </c>
      <c r="BF95">
        <v>3545.7167692989001</v>
      </c>
      <c r="BG95">
        <v>0.14392962261419201</v>
      </c>
      <c r="BH95">
        <v>9450.7424110522406</v>
      </c>
      <c r="BI95">
        <v>1.2996097428442801</v>
      </c>
      <c r="BJ95" s="4">
        <v>469.89578690466197</v>
      </c>
      <c r="BK95">
        <v>0.95355287399074296</v>
      </c>
      <c r="BL95" s="4">
        <v>978.01648930103295</v>
      </c>
      <c r="BM95">
        <v>2.1505121233116702</v>
      </c>
      <c r="BN95">
        <v>95.766000000000005</v>
      </c>
      <c r="BO95">
        <v>0.77309000000000005</v>
      </c>
      <c r="BP95" s="4">
        <v>4.972051575071381E-2</v>
      </c>
      <c r="BQ95" s="4">
        <v>4.9067078807161408</v>
      </c>
      <c r="BR95">
        <v>1</v>
      </c>
      <c r="BS95" s="2">
        <v>44386</v>
      </c>
      <c r="BT95">
        <v>5.0814510609171801</v>
      </c>
      <c r="BU95" t="s">
        <v>23</v>
      </c>
      <c r="BY95" s="2">
        <v>44386</v>
      </c>
      <c r="BZ95">
        <v>5.5</v>
      </c>
      <c r="CA95">
        <v>1</v>
      </c>
      <c r="CB95">
        <v>24</v>
      </c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</row>
    <row r="96" spans="52:92" x14ac:dyDescent="0.25">
      <c r="AZ96" s="9" t="s">
        <v>72</v>
      </c>
      <c r="BA96" s="2">
        <v>41884</v>
      </c>
      <c r="BB96">
        <v>2</v>
      </c>
      <c r="BC96" s="3">
        <v>30</v>
      </c>
      <c r="BD96">
        <v>0.5</v>
      </c>
      <c r="BE96">
        <v>0.5</v>
      </c>
      <c r="BF96">
        <v>2741.37</v>
      </c>
      <c r="BG96">
        <v>2.15</v>
      </c>
      <c r="BH96">
        <v>6095.0005218566703</v>
      </c>
      <c r="BI96">
        <v>2.8716230354394501</v>
      </c>
      <c r="BJ96" s="4">
        <v>464.93097647510399</v>
      </c>
      <c r="BK96">
        <v>2.20127024487152</v>
      </c>
      <c r="BL96">
        <v>440.89676527717501</v>
      </c>
      <c r="BM96">
        <v>2.65106625597944</v>
      </c>
      <c r="BN96" s="4">
        <v>55.4</v>
      </c>
      <c r="BO96">
        <v>2.2799999999999998</v>
      </c>
      <c r="BP96" s="4">
        <v>7.6280711512306129E-2</v>
      </c>
      <c r="BQ96" s="4">
        <v>8.3922558930524183</v>
      </c>
      <c r="BR96">
        <v>1</v>
      </c>
      <c r="BS96" s="2">
        <v>44459</v>
      </c>
      <c r="BT96">
        <v>7.04996577686516</v>
      </c>
      <c r="BU96" t="s">
        <v>23</v>
      </c>
      <c r="BY96" s="2">
        <v>44459</v>
      </c>
      <c r="BZ96">
        <v>6.5</v>
      </c>
      <c r="CA96">
        <v>1</v>
      </c>
      <c r="CB96">
        <v>19</v>
      </c>
      <c r="CE96">
        <v>11816</v>
      </c>
      <c r="CG96">
        <v>696</v>
      </c>
      <c r="CI96" s="4">
        <v>530</v>
      </c>
      <c r="CK96" s="4">
        <v>90.4</v>
      </c>
      <c r="CM96" s="4">
        <v>5.8903182125930938E-2</v>
      </c>
      <c r="CN96" s="4">
        <v>7.6991150442477867</v>
      </c>
    </row>
    <row r="97" spans="52:92" x14ac:dyDescent="0.25">
      <c r="AZ97" s="9" t="s">
        <v>75</v>
      </c>
      <c r="BA97" s="2">
        <v>43109</v>
      </c>
      <c r="BB97">
        <v>2</v>
      </c>
      <c r="BC97" s="3">
        <v>18</v>
      </c>
      <c r="BD97">
        <v>3</v>
      </c>
      <c r="BE97">
        <v>0.5</v>
      </c>
      <c r="BR97">
        <v>1</v>
      </c>
      <c r="BS97" s="2">
        <v>44039</v>
      </c>
      <c r="BT97">
        <v>2.5462012320328502</v>
      </c>
      <c r="BU97" t="s">
        <v>23</v>
      </c>
      <c r="BY97" s="2">
        <v>44039</v>
      </c>
      <c r="BZ97">
        <v>8</v>
      </c>
      <c r="CA97">
        <v>1</v>
      </c>
      <c r="CB97">
        <v>21</v>
      </c>
      <c r="CE97" t="s">
        <v>121</v>
      </c>
      <c r="CG97" t="s">
        <v>121</v>
      </c>
      <c r="CI97" t="s">
        <v>121</v>
      </c>
      <c r="CK97" t="s">
        <v>121</v>
      </c>
      <c r="CM97" t="s">
        <v>121</v>
      </c>
      <c r="CN97" t="s">
        <v>121</v>
      </c>
    </row>
    <row r="98" spans="52:92" x14ac:dyDescent="0.25">
      <c r="AZ98" s="9" t="s">
        <v>75</v>
      </c>
      <c r="BA98" s="2">
        <v>43109</v>
      </c>
      <c r="BB98">
        <v>2</v>
      </c>
      <c r="BC98" s="3">
        <v>18</v>
      </c>
      <c r="BD98">
        <v>3</v>
      </c>
      <c r="BE98">
        <v>0.5</v>
      </c>
      <c r="BR98" s="3">
        <v>1</v>
      </c>
      <c r="BS98" s="2">
        <v>44039</v>
      </c>
      <c r="BT98">
        <v>2.5462012320328502</v>
      </c>
      <c r="BU98" t="s">
        <v>23</v>
      </c>
      <c r="BW98" s="2"/>
      <c r="BY98" s="2">
        <v>44039</v>
      </c>
      <c r="BZ98">
        <v>8</v>
      </c>
      <c r="CA98">
        <v>1</v>
      </c>
      <c r="CB98">
        <v>21</v>
      </c>
    </row>
    <row r="99" spans="52:92" x14ac:dyDescent="0.25">
      <c r="AZ99" s="9" t="s">
        <v>83</v>
      </c>
      <c r="BA99" s="2">
        <v>42450</v>
      </c>
      <c r="BC99" s="3">
        <v>28</v>
      </c>
      <c r="BD99">
        <v>2.5</v>
      </c>
      <c r="BE99">
        <v>0.5</v>
      </c>
      <c r="BR99" s="3">
        <v>1</v>
      </c>
      <c r="BS99" s="2">
        <v>44756</v>
      </c>
      <c r="BT99">
        <v>7.31006160164271</v>
      </c>
      <c r="BU99" t="s">
        <v>97</v>
      </c>
      <c r="BV99">
        <v>1</v>
      </c>
      <c r="BW99" s="2">
        <v>42450</v>
      </c>
      <c r="BX99">
        <v>0.99657768651608503</v>
      </c>
      <c r="BY99" s="2">
        <v>44756</v>
      </c>
      <c r="BZ99">
        <v>5.5</v>
      </c>
      <c r="CA99">
        <v>1</v>
      </c>
      <c r="CB99">
        <v>18</v>
      </c>
      <c r="CE99" t="s">
        <v>121</v>
      </c>
      <c r="CG99" t="s">
        <v>121</v>
      </c>
      <c r="CI99" t="s">
        <v>121</v>
      </c>
      <c r="CK99" t="s">
        <v>121</v>
      </c>
      <c r="CM99" t="s">
        <v>121</v>
      </c>
      <c r="CN99" t="s">
        <v>121</v>
      </c>
    </row>
    <row r="100" spans="52:92" x14ac:dyDescent="0.25">
      <c r="AZ100" s="9" t="s">
        <v>83</v>
      </c>
      <c r="BA100" s="2">
        <v>42450</v>
      </c>
      <c r="BC100" s="3">
        <v>28</v>
      </c>
      <c r="BD100">
        <v>2.5</v>
      </c>
      <c r="BE100">
        <v>0.5</v>
      </c>
      <c r="BR100">
        <v>1</v>
      </c>
      <c r="BS100" s="2">
        <v>44756</v>
      </c>
      <c r="BT100">
        <v>7.31006160164271</v>
      </c>
      <c r="BU100" t="s">
        <v>97</v>
      </c>
      <c r="BV100">
        <v>1</v>
      </c>
      <c r="BW100" s="2">
        <v>42450</v>
      </c>
      <c r="BX100">
        <v>0.99657768651608503</v>
      </c>
      <c r="BY100" s="2">
        <v>44756</v>
      </c>
      <c r="BZ100">
        <v>5.5</v>
      </c>
      <c r="CA100">
        <v>1</v>
      </c>
      <c r="CB100">
        <v>18</v>
      </c>
    </row>
    <row r="101" spans="52:92" x14ac:dyDescent="0.25">
      <c r="AZ101" s="14" t="s">
        <v>77</v>
      </c>
      <c r="BA101" s="2">
        <v>42808</v>
      </c>
      <c r="BB101">
        <v>2</v>
      </c>
      <c r="BC101" s="3">
        <v>28</v>
      </c>
      <c r="BD101">
        <v>0.5</v>
      </c>
      <c r="BE101">
        <v>0.5</v>
      </c>
      <c r="BF101">
        <v>4189.7973350062302</v>
      </c>
      <c r="BG101">
        <v>2.28972333525636</v>
      </c>
      <c r="BH101">
        <v>9937.1267105227598</v>
      </c>
      <c r="BI101">
        <v>1.12896723928072</v>
      </c>
      <c r="BJ101" s="4">
        <v>638.66668130305902</v>
      </c>
      <c r="BK101">
        <v>1.57045332706484</v>
      </c>
      <c r="BL101" s="4">
        <v>640.20068199862703</v>
      </c>
      <c r="BM101">
        <v>4.2691766743836803</v>
      </c>
      <c r="BN101" s="4">
        <v>86.686000000000007</v>
      </c>
      <c r="BO101">
        <v>2.1015999999999999</v>
      </c>
      <c r="BP101" s="4">
        <v>6.4270759537236585E-2</v>
      </c>
      <c r="BQ101" s="4">
        <v>7.3675873993846634</v>
      </c>
      <c r="BR101">
        <v>1</v>
      </c>
      <c r="BS101" s="2">
        <v>43180</v>
      </c>
      <c r="BT101">
        <v>1.0184804928131399</v>
      </c>
      <c r="BU101" t="s">
        <v>23</v>
      </c>
      <c r="BY101" s="2">
        <v>43180</v>
      </c>
      <c r="BZ101">
        <v>1</v>
      </c>
      <c r="CA101">
        <v>0.5</v>
      </c>
      <c r="CB101">
        <v>23</v>
      </c>
      <c r="CE101" t="s">
        <v>121</v>
      </c>
      <c r="CG101" t="s">
        <v>121</v>
      </c>
      <c r="CI101" t="s">
        <v>121</v>
      </c>
      <c r="CK101" t="s">
        <v>121</v>
      </c>
      <c r="CM101" t="s">
        <v>121</v>
      </c>
      <c r="CN101" t="s">
        <v>121</v>
      </c>
    </row>
    <row r="102" spans="52:92" x14ac:dyDescent="0.25">
      <c r="AZ102" s="14" t="s">
        <v>77</v>
      </c>
      <c r="BA102" s="2">
        <v>42808</v>
      </c>
      <c r="BB102">
        <v>2</v>
      </c>
      <c r="BC102" s="3">
        <v>28</v>
      </c>
      <c r="BD102">
        <v>0.5</v>
      </c>
      <c r="BE102">
        <v>0.5</v>
      </c>
      <c r="BF102">
        <v>4189.7973350062302</v>
      </c>
      <c r="BG102">
        <v>2.28972333525636</v>
      </c>
      <c r="BH102">
        <v>9937.1267105227598</v>
      </c>
      <c r="BI102">
        <v>1.12896723928072</v>
      </c>
      <c r="BJ102" s="4">
        <v>638.66668130305902</v>
      </c>
      <c r="BK102">
        <v>1.57045332706484</v>
      </c>
      <c r="BL102">
        <v>640.20068199862703</v>
      </c>
      <c r="BM102">
        <v>4.2691766743836803</v>
      </c>
      <c r="BN102">
        <v>86.686000000000007</v>
      </c>
      <c r="BO102">
        <v>2.1015999999999999</v>
      </c>
      <c r="BP102" s="4">
        <v>6.4270759537236585E-2</v>
      </c>
      <c r="BQ102" s="4">
        <v>7.3675873993846634</v>
      </c>
      <c r="BR102">
        <v>1</v>
      </c>
      <c r="BS102" s="2">
        <v>43180</v>
      </c>
      <c r="BT102">
        <v>1.0184804928131399</v>
      </c>
      <c r="BU102" t="s">
        <v>23</v>
      </c>
      <c r="BY102" s="2">
        <v>43180</v>
      </c>
      <c r="BZ102">
        <v>1</v>
      </c>
      <c r="CA102">
        <v>0.5</v>
      </c>
      <c r="CB102">
        <v>23</v>
      </c>
    </row>
    <row r="103" spans="52:92" x14ac:dyDescent="0.25">
      <c r="AZ103" s="14" t="s">
        <v>77</v>
      </c>
      <c r="BA103" s="2">
        <v>42808</v>
      </c>
      <c r="BB103">
        <v>2</v>
      </c>
      <c r="BC103" s="3">
        <v>28</v>
      </c>
      <c r="BD103">
        <v>0.5</v>
      </c>
      <c r="BE103">
        <v>0.5</v>
      </c>
      <c r="BF103">
        <v>4189.7973350062302</v>
      </c>
      <c r="BG103">
        <v>2.28972333525636</v>
      </c>
      <c r="BH103">
        <v>9937.1267105227598</v>
      </c>
      <c r="BI103">
        <v>1.12896723928072</v>
      </c>
      <c r="BJ103" s="4">
        <v>638.66668130305902</v>
      </c>
      <c r="BK103">
        <v>1.57045332706484</v>
      </c>
      <c r="BL103" s="4">
        <v>640.20068199862703</v>
      </c>
      <c r="BM103">
        <v>4.2691766743836803</v>
      </c>
      <c r="BN103" s="4">
        <v>86.686000000000007</v>
      </c>
      <c r="BO103">
        <v>2.1015999999999999</v>
      </c>
      <c r="BP103" s="4">
        <v>6.4270759537236585E-2</v>
      </c>
      <c r="BQ103" s="4">
        <v>7.3675873993846634</v>
      </c>
      <c r="BR103">
        <v>1</v>
      </c>
      <c r="BS103" s="2">
        <v>43180</v>
      </c>
      <c r="BT103">
        <v>1.0184804928131399</v>
      </c>
      <c r="BU103" t="s">
        <v>23</v>
      </c>
      <c r="BY103" s="2">
        <v>43558</v>
      </c>
      <c r="BZ103">
        <v>3</v>
      </c>
      <c r="CA103">
        <v>0.5</v>
      </c>
      <c r="CB103">
        <v>22</v>
      </c>
      <c r="CE103" t="s">
        <v>121</v>
      </c>
      <c r="CG103" t="s">
        <v>121</v>
      </c>
      <c r="CI103" t="s">
        <v>121</v>
      </c>
      <c r="CK103" t="s">
        <v>121</v>
      </c>
      <c r="CM103" t="s">
        <v>121</v>
      </c>
      <c r="CN103" t="s">
        <v>121</v>
      </c>
    </row>
    <row r="104" spans="52:92" x14ac:dyDescent="0.25">
      <c r="AZ104" s="14" t="s">
        <v>77</v>
      </c>
      <c r="BA104" s="2">
        <v>42808</v>
      </c>
      <c r="BB104">
        <v>2</v>
      </c>
      <c r="BC104" s="3">
        <v>28</v>
      </c>
      <c r="BD104">
        <v>0.5</v>
      </c>
      <c r="BE104">
        <v>0.5</v>
      </c>
      <c r="BF104">
        <v>4189.7973350062302</v>
      </c>
      <c r="BG104">
        <v>2.28972333525636</v>
      </c>
      <c r="BH104">
        <v>9937.1267105227598</v>
      </c>
      <c r="BI104">
        <v>1.12896723928072</v>
      </c>
      <c r="BJ104" s="4">
        <v>638.66668130305902</v>
      </c>
      <c r="BK104">
        <v>1.57045332706484</v>
      </c>
      <c r="BL104">
        <v>640.20068199862703</v>
      </c>
      <c r="BM104">
        <v>4.2691766743836803</v>
      </c>
      <c r="BN104">
        <v>86.686000000000007</v>
      </c>
      <c r="BO104">
        <v>2.1015999999999999</v>
      </c>
      <c r="BP104" s="4">
        <v>6.4270759537236585E-2</v>
      </c>
      <c r="BQ104" s="4">
        <v>7.3675873993846634</v>
      </c>
      <c r="BR104">
        <v>1</v>
      </c>
      <c r="BS104" s="2">
        <v>43180</v>
      </c>
      <c r="BT104">
        <v>1.0184804928131399</v>
      </c>
      <c r="BU104" t="s">
        <v>23</v>
      </c>
      <c r="BY104" s="2">
        <v>43558</v>
      </c>
      <c r="BZ104">
        <v>3</v>
      </c>
      <c r="CA104">
        <v>0.5</v>
      </c>
      <c r="CB104">
        <v>22</v>
      </c>
    </row>
    <row r="105" spans="52:92" x14ac:dyDescent="0.25">
      <c r="AZ105" s="9" t="s">
        <v>77</v>
      </c>
      <c r="BA105" s="2">
        <v>42808</v>
      </c>
      <c r="BB105">
        <v>2</v>
      </c>
      <c r="BC105" s="3">
        <v>28</v>
      </c>
      <c r="BD105">
        <v>0.5</v>
      </c>
      <c r="BE105">
        <v>0.5</v>
      </c>
      <c r="BF105">
        <v>4189.7973350062302</v>
      </c>
      <c r="BG105">
        <v>2.28972333525636</v>
      </c>
      <c r="BH105">
        <v>9937.1267105227598</v>
      </c>
      <c r="BI105">
        <v>1.12896723928072</v>
      </c>
      <c r="BJ105" s="4">
        <v>638.66668130305902</v>
      </c>
      <c r="BK105">
        <v>1.57045332706484</v>
      </c>
      <c r="BL105" s="4">
        <v>640.20068199862703</v>
      </c>
      <c r="BM105">
        <v>4.2691766743836803</v>
      </c>
      <c r="BN105" s="4">
        <v>86.686000000000007</v>
      </c>
      <c r="BO105">
        <v>2.1015999999999999</v>
      </c>
      <c r="BP105" s="4">
        <v>6.4270759537236585E-2</v>
      </c>
      <c r="BQ105" s="4">
        <v>7.3675873993846634</v>
      </c>
      <c r="BR105">
        <v>1</v>
      </c>
      <c r="BS105" s="2">
        <v>43180</v>
      </c>
      <c r="BT105">
        <v>1.0184804928131399</v>
      </c>
      <c r="BU105" t="s">
        <v>23</v>
      </c>
      <c r="BY105" s="2">
        <v>43964</v>
      </c>
      <c r="BZ105">
        <v>3</v>
      </c>
      <c r="CA105">
        <v>0.5</v>
      </c>
      <c r="CB105" t="s">
        <v>32</v>
      </c>
      <c r="CE105" t="s">
        <v>121</v>
      </c>
      <c r="CG105" t="s">
        <v>121</v>
      </c>
      <c r="CI105" t="s">
        <v>121</v>
      </c>
      <c r="CK105" t="s">
        <v>121</v>
      </c>
      <c r="CM105" t="s">
        <v>121</v>
      </c>
      <c r="CN105" t="s">
        <v>121</v>
      </c>
    </row>
    <row r="106" spans="52:92" x14ac:dyDescent="0.25">
      <c r="AZ106" s="9" t="s">
        <v>77</v>
      </c>
      <c r="BA106" s="2">
        <v>42808</v>
      </c>
      <c r="BB106">
        <v>2</v>
      </c>
      <c r="BC106" s="3">
        <v>28</v>
      </c>
      <c r="BD106">
        <v>0.5</v>
      </c>
      <c r="BE106">
        <v>0.5</v>
      </c>
      <c r="BF106">
        <v>4189.7973350062302</v>
      </c>
      <c r="BG106">
        <v>2.28972333525636</v>
      </c>
      <c r="BH106">
        <v>9937.1267105227598</v>
      </c>
      <c r="BI106">
        <v>1.12896723928072</v>
      </c>
      <c r="BJ106" s="4">
        <v>638.66668130305902</v>
      </c>
      <c r="BK106">
        <v>1.57045332706484</v>
      </c>
      <c r="BL106" s="4">
        <v>640.20068199862703</v>
      </c>
      <c r="BM106">
        <v>4.2691766743836803</v>
      </c>
      <c r="BN106" s="4">
        <v>86.686000000000007</v>
      </c>
      <c r="BO106">
        <v>2.1015999999999999</v>
      </c>
      <c r="BP106" s="4">
        <v>6.4270759537236585E-2</v>
      </c>
      <c r="BQ106" s="4">
        <v>7.3675873993846634</v>
      </c>
      <c r="BR106">
        <v>1</v>
      </c>
      <c r="BS106" s="2">
        <v>43180</v>
      </c>
      <c r="BT106">
        <v>1.0184804928131399</v>
      </c>
      <c r="BU106" t="s">
        <v>23</v>
      </c>
      <c r="BY106" s="2">
        <v>44314</v>
      </c>
      <c r="BZ106">
        <v>3</v>
      </c>
      <c r="CA106">
        <v>0.5</v>
      </c>
      <c r="CB106">
        <v>24</v>
      </c>
      <c r="CE106" t="s">
        <v>121</v>
      </c>
      <c r="CG106" t="s">
        <v>121</v>
      </c>
      <c r="CI106" t="s">
        <v>121</v>
      </c>
      <c r="CK106" t="s">
        <v>121</v>
      </c>
      <c r="CM106" t="s">
        <v>121</v>
      </c>
      <c r="CN106" t="s">
        <v>121</v>
      </c>
    </row>
    <row r="107" spans="52:92" x14ac:dyDescent="0.25">
      <c r="AZ107" s="9" t="s">
        <v>77</v>
      </c>
      <c r="BA107" s="2">
        <v>42808</v>
      </c>
      <c r="BB107">
        <v>2</v>
      </c>
      <c r="BC107" s="3">
        <v>28</v>
      </c>
      <c r="BD107">
        <v>0.5</v>
      </c>
      <c r="BE107">
        <v>0.5</v>
      </c>
      <c r="BF107">
        <v>4189.7973350062302</v>
      </c>
      <c r="BG107">
        <v>2.28972333525636</v>
      </c>
      <c r="BH107">
        <v>9937.1267105227598</v>
      </c>
      <c r="BI107">
        <v>1.12896723928072</v>
      </c>
      <c r="BJ107" s="4">
        <v>638.66668130305902</v>
      </c>
      <c r="BK107">
        <v>1.57045332706484</v>
      </c>
      <c r="BL107" s="4">
        <v>640.20068199862703</v>
      </c>
      <c r="BM107">
        <v>4.2691766743836803</v>
      </c>
      <c r="BN107" s="4">
        <v>86.686000000000007</v>
      </c>
      <c r="BO107">
        <v>2.1015999999999999</v>
      </c>
      <c r="BP107" s="4">
        <v>6.4270759537236585E-2</v>
      </c>
      <c r="BQ107" s="4">
        <v>7.3675873993846634</v>
      </c>
      <c r="BR107">
        <v>1</v>
      </c>
      <c r="BS107" s="2">
        <v>43180</v>
      </c>
      <c r="BT107">
        <v>1.0184804928131399</v>
      </c>
      <c r="BU107" t="s">
        <v>23</v>
      </c>
      <c r="BY107" s="2">
        <v>44701</v>
      </c>
      <c r="BZ107">
        <v>7</v>
      </c>
      <c r="CA107">
        <v>1</v>
      </c>
      <c r="CB107">
        <v>22</v>
      </c>
      <c r="CE107" t="s">
        <v>121</v>
      </c>
      <c r="CG107" t="s">
        <v>121</v>
      </c>
      <c r="CI107" t="s">
        <v>121</v>
      </c>
      <c r="CK107" t="s">
        <v>121</v>
      </c>
      <c r="CM107" t="s">
        <v>121</v>
      </c>
      <c r="CN107" t="s">
        <v>121</v>
      </c>
    </row>
    <row r="108" spans="52:92" x14ac:dyDescent="0.25">
      <c r="AZ108" s="9" t="s">
        <v>78</v>
      </c>
      <c r="BA108" s="2">
        <v>42403</v>
      </c>
      <c r="BB108">
        <v>2</v>
      </c>
      <c r="BC108" s="3">
        <v>29</v>
      </c>
      <c r="BD108">
        <v>0.5</v>
      </c>
      <c r="BE108">
        <v>0.5</v>
      </c>
      <c r="BF108">
        <v>2692.01529632658</v>
      </c>
      <c r="BG108">
        <v>2.5556983423045101</v>
      </c>
      <c r="BH108">
        <v>7425.5161844636204</v>
      </c>
      <c r="BI108">
        <v>1.96312511070476</v>
      </c>
      <c r="BJ108" s="4">
        <v>289.36579644931902</v>
      </c>
      <c r="BK108">
        <v>1.37879461037324</v>
      </c>
      <c r="BL108" s="4">
        <v>846.99372717032702</v>
      </c>
      <c r="BM108">
        <v>6.7871695817613098E-2</v>
      </c>
      <c r="BN108" s="4">
        <v>108</v>
      </c>
      <c r="BO108">
        <v>1.85</v>
      </c>
      <c r="BP108" s="4">
        <v>3.8969115312785657E-2</v>
      </c>
      <c r="BQ108" s="4">
        <v>2.679312930086287</v>
      </c>
      <c r="BR108">
        <v>1</v>
      </c>
      <c r="BS108" s="2">
        <v>44634</v>
      </c>
      <c r="BT108">
        <v>6.1081451060917198</v>
      </c>
      <c r="BU108" t="s">
        <v>23</v>
      </c>
      <c r="BY108" s="2">
        <v>44634</v>
      </c>
      <c r="CB108">
        <v>23</v>
      </c>
      <c r="CE108" t="s">
        <v>121</v>
      </c>
      <c r="CG108" t="s">
        <v>121</v>
      </c>
      <c r="CI108" t="s">
        <v>121</v>
      </c>
      <c r="CK108" t="s">
        <v>121</v>
      </c>
      <c r="CM108" t="s">
        <v>121</v>
      </c>
      <c r="CN108" t="s">
        <v>121</v>
      </c>
    </row>
    <row r="109" spans="52:92" x14ac:dyDescent="0.25">
      <c r="AZ109" s="9" t="s">
        <v>78</v>
      </c>
      <c r="BA109" s="2">
        <v>42403</v>
      </c>
      <c r="BB109">
        <v>2</v>
      </c>
      <c r="BC109" s="3">
        <v>29</v>
      </c>
      <c r="BD109">
        <v>0.5</v>
      </c>
      <c r="BE109">
        <v>0.5</v>
      </c>
      <c r="BF109">
        <v>2692.01529632658</v>
      </c>
      <c r="BG109">
        <v>2.5556983423045101</v>
      </c>
      <c r="BH109">
        <v>7425.5161844636204</v>
      </c>
      <c r="BI109">
        <v>1.96312511070476</v>
      </c>
      <c r="BJ109">
        <v>289.36579644931902</v>
      </c>
      <c r="BK109">
        <v>1.37879461037324</v>
      </c>
      <c r="BL109">
        <v>846.99372717032702</v>
      </c>
      <c r="BM109">
        <v>6.7871695817613098E-2</v>
      </c>
      <c r="BN109">
        <v>108</v>
      </c>
      <c r="BO109">
        <v>1.85</v>
      </c>
      <c r="BP109">
        <v>3.8969115312785657E-2</v>
      </c>
      <c r="BQ109">
        <v>2.679312930086287</v>
      </c>
      <c r="BR109" s="3">
        <v>1</v>
      </c>
      <c r="BS109" s="2">
        <v>44634</v>
      </c>
      <c r="BT109">
        <v>6.1081451060917198</v>
      </c>
      <c r="BU109" t="s">
        <v>23</v>
      </c>
      <c r="BW109" s="2"/>
      <c r="BY109" s="2">
        <v>44634</v>
      </c>
      <c r="CB109">
        <v>23</v>
      </c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</row>
    <row r="110" spans="52:92" x14ac:dyDescent="0.25">
      <c r="AZ110" s="14" t="s">
        <v>79</v>
      </c>
      <c r="BA110" s="2">
        <v>42625</v>
      </c>
      <c r="BB110">
        <v>2</v>
      </c>
      <c r="BC110" s="3">
        <v>28</v>
      </c>
      <c r="BD110">
        <v>2</v>
      </c>
      <c r="BE110">
        <v>0.5</v>
      </c>
      <c r="BF110">
        <v>5766.6419983386604</v>
      </c>
      <c r="BG110">
        <v>2.5303072608982902</v>
      </c>
      <c r="BH110">
        <v>11803.2272953231</v>
      </c>
      <c r="BI110">
        <v>0.19325579657549899</v>
      </c>
      <c r="BJ110">
        <v>1407.10731500779</v>
      </c>
      <c r="BK110">
        <v>1.53262904960013</v>
      </c>
      <c r="BL110">
        <v>676.97415037573501</v>
      </c>
      <c r="BM110">
        <v>5.4346194235078702</v>
      </c>
      <c r="BN110">
        <v>77.355999999999995</v>
      </c>
      <c r="BO110">
        <v>6.9483000000000003E-2</v>
      </c>
      <c r="BP110">
        <v>0.11921377770682608</v>
      </c>
      <c r="BQ110">
        <v>18.190021653236855</v>
      </c>
      <c r="BR110" s="3">
        <v>1</v>
      </c>
      <c r="BS110" s="2">
        <v>43005</v>
      </c>
      <c r="BT110">
        <v>1.0403832991102</v>
      </c>
      <c r="BU110" t="s">
        <v>23</v>
      </c>
      <c r="BW110" s="2"/>
      <c r="BY110" s="2">
        <v>43341</v>
      </c>
      <c r="BZ110">
        <v>5.5</v>
      </c>
      <c r="CA110">
        <v>1</v>
      </c>
      <c r="CB110">
        <v>22</v>
      </c>
      <c r="CC110">
        <v>5951.0976775424697</v>
      </c>
      <c r="CD110">
        <v>0.12919502762610299</v>
      </c>
      <c r="CE110">
        <v>12368.724037545901</v>
      </c>
      <c r="CF110">
        <v>3.8711054425564502</v>
      </c>
      <c r="CG110">
        <v>1475.8975073429599</v>
      </c>
      <c r="CH110">
        <v>2.2773989281402001</v>
      </c>
      <c r="CI110" s="4">
        <v>758.21483125110399</v>
      </c>
      <c r="CJ110">
        <v>2.10041837995397</v>
      </c>
      <c r="CK110" s="4">
        <v>76.888000000000005</v>
      </c>
      <c r="CL110">
        <v>2.0209000000000001</v>
      </c>
      <c r="CM110">
        <v>0.1193249605102998</v>
      </c>
      <c r="CN110">
        <v>19.195420707301011</v>
      </c>
    </row>
    <row r="111" spans="52:92" x14ac:dyDescent="0.25">
      <c r="AZ111" s="14" t="s">
        <v>80</v>
      </c>
      <c r="BA111" s="2">
        <v>41921</v>
      </c>
      <c r="BB111">
        <v>2</v>
      </c>
      <c r="BC111" s="3">
        <v>29</v>
      </c>
      <c r="BD111">
        <v>0.5</v>
      </c>
      <c r="BE111">
        <v>0.5</v>
      </c>
      <c r="BF111">
        <v>4062.0499220659299</v>
      </c>
      <c r="BG111">
        <v>0.46615996790090197</v>
      </c>
      <c r="BH111">
        <v>9343.7325648272708</v>
      </c>
      <c r="BI111">
        <v>0.73468989364882797</v>
      </c>
      <c r="BJ111" s="4">
        <v>438.49053107051299</v>
      </c>
      <c r="BK111">
        <v>2.7570194647665698</v>
      </c>
      <c r="BL111" s="4">
        <v>562.19937605134396</v>
      </c>
      <c r="BM111">
        <v>5.9795810604098696</v>
      </c>
      <c r="BN111" s="4">
        <v>79.7</v>
      </c>
      <c r="BO111">
        <v>1.55</v>
      </c>
      <c r="BP111" s="4">
        <v>4.6928840057037631E-2</v>
      </c>
      <c r="BQ111" s="4">
        <v>5.5017632505710532</v>
      </c>
      <c r="BR111">
        <v>1</v>
      </c>
      <c r="BS111" s="2">
        <v>43388</v>
      </c>
      <c r="BT111">
        <v>4.0164271047227897</v>
      </c>
      <c r="BU111" t="s">
        <v>23</v>
      </c>
      <c r="BY111" s="2">
        <v>43773</v>
      </c>
      <c r="BZ111">
        <v>8</v>
      </c>
      <c r="CA111">
        <v>1</v>
      </c>
      <c r="CB111">
        <v>25</v>
      </c>
      <c r="CE111" t="s">
        <v>121</v>
      </c>
      <c r="CG111" t="s">
        <v>121</v>
      </c>
      <c r="CI111" t="s">
        <v>121</v>
      </c>
      <c r="CK111" t="s">
        <v>121</v>
      </c>
      <c r="CM111" t="s">
        <v>121</v>
      </c>
      <c r="CN111" t="s">
        <v>121</v>
      </c>
    </row>
    <row r="112" spans="52:92" x14ac:dyDescent="0.25">
      <c r="AZ112" s="14" t="s">
        <v>80</v>
      </c>
      <c r="BA112" s="2">
        <v>41921</v>
      </c>
      <c r="BB112">
        <v>2</v>
      </c>
      <c r="BC112" s="3">
        <v>29</v>
      </c>
      <c r="BD112">
        <v>0.5</v>
      </c>
      <c r="BE112">
        <v>0.5</v>
      </c>
      <c r="BF112">
        <v>4062.0499220659299</v>
      </c>
      <c r="BG112">
        <v>0.46615996790090197</v>
      </c>
      <c r="BH112">
        <v>9343.7325648272708</v>
      </c>
      <c r="BI112">
        <v>0.73468989364882797</v>
      </c>
      <c r="BJ112" s="4">
        <v>438.49053107051299</v>
      </c>
      <c r="BK112">
        <v>2.7570194647665698</v>
      </c>
      <c r="BL112">
        <v>562.19937605134396</v>
      </c>
      <c r="BM112">
        <v>5.9795810604098696</v>
      </c>
      <c r="BN112" s="4">
        <v>79.7</v>
      </c>
      <c r="BO112">
        <v>1.55</v>
      </c>
      <c r="BP112" s="4">
        <v>4.6928840057037631E-2</v>
      </c>
      <c r="BQ112" s="4">
        <v>5.5017632505710532</v>
      </c>
      <c r="BR112" s="3">
        <v>1</v>
      </c>
      <c r="BS112" s="2">
        <v>43388</v>
      </c>
      <c r="BT112">
        <v>4.0164271047227897</v>
      </c>
      <c r="BU112" t="s">
        <v>23</v>
      </c>
      <c r="BW112" s="2"/>
      <c r="BY112" s="2">
        <v>43773</v>
      </c>
      <c r="BZ112">
        <v>8</v>
      </c>
      <c r="CA112">
        <v>1</v>
      </c>
      <c r="CB112">
        <v>25</v>
      </c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</row>
    <row r="113" spans="52:92" x14ac:dyDescent="0.25">
      <c r="AZ113" s="9" t="s">
        <v>80</v>
      </c>
      <c r="BA113" s="2">
        <v>41921</v>
      </c>
      <c r="BB113">
        <v>2</v>
      </c>
      <c r="BC113" s="3">
        <v>29</v>
      </c>
      <c r="BD113">
        <v>0.5</v>
      </c>
      <c r="BE113">
        <v>0.5</v>
      </c>
      <c r="BF113">
        <v>4062.0499220659299</v>
      </c>
      <c r="BG113">
        <v>0.46615996790090197</v>
      </c>
      <c r="BH113">
        <v>9343.7325648272708</v>
      </c>
      <c r="BI113">
        <v>0.73468989364882797</v>
      </c>
      <c r="BJ113" s="4">
        <v>438.49053107051299</v>
      </c>
      <c r="BK113">
        <v>2.7570194647665698</v>
      </c>
      <c r="BL113" s="4">
        <v>562.19937605134396</v>
      </c>
      <c r="BM113">
        <v>5.9795810604098696</v>
      </c>
      <c r="BN113" s="4">
        <v>79.7</v>
      </c>
      <c r="BO113">
        <v>1.55</v>
      </c>
      <c r="BP113" s="4">
        <v>4.6928840057037631E-2</v>
      </c>
      <c r="BQ113" s="4">
        <v>5.5017632505710532</v>
      </c>
      <c r="BR113">
        <v>1</v>
      </c>
      <c r="BS113" s="2">
        <v>43388</v>
      </c>
      <c r="BT113">
        <v>4.0164271047227897</v>
      </c>
      <c r="BU113" t="s">
        <v>23</v>
      </c>
      <c r="BY113" s="2">
        <v>44334</v>
      </c>
      <c r="BZ113">
        <v>8.5</v>
      </c>
      <c r="CA113">
        <v>1</v>
      </c>
      <c r="CB113">
        <v>21</v>
      </c>
      <c r="CE113" t="s">
        <v>121</v>
      </c>
      <c r="CG113" t="s">
        <v>121</v>
      </c>
      <c r="CI113" t="s">
        <v>121</v>
      </c>
      <c r="CK113" t="s">
        <v>121</v>
      </c>
      <c r="CM113" t="s">
        <v>121</v>
      </c>
      <c r="CN113" t="s">
        <v>121</v>
      </c>
    </row>
    <row r="114" spans="52:92" x14ac:dyDescent="0.25">
      <c r="AZ114" s="9" t="s">
        <v>80</v>
      </c>
      <c r="BA114" s="2">
        <v>41921</v>
      </c>
      <c r="BB114">
        <v>2</v>
      </c>
      <c r="BC114" s="3">
        <v>29</v>
      </c>
      <c r="BD114">
        <v>0.5</v>
      </c>
      <c r="BE114">
        <v>0.5</v>
      </c>
      <c r="BF114">
        <v>4062.0499220659299</v>
      </c>
      <c r="BG114">
        <v>0.46615996790090197</v>
      </c>
      <c r="BH114">
        <v>9343.7325648272708</v>
      </c>
      <c r="BI114">
        <v>0.73468989364882797</v>
      </c>
      <c r="BJ114" s="4">
        <v>438.49053107051299</v>
      </c>
      <c r="BK114">
        <v>2.7570194647665698</v>
      </c>
      <c r="BL114">
        <v>562.19937605134396</v>
      </c>
      <c r="BM114">
        <v>5.9795810604098696</v>
      </c>
      <c r="BN114" s="4">
        <v>79.7</v>
      </c>
      <c r="BO114">
        <v>1.55</v>
      </c>
      <c r="BP114" s="4">
        <v>4.6928840057037631E-2</v>
      </c>
      <c r="BQ114" s="4">
        <v>5.5017632505710532</v>
      </c>
      <c r="BR114" s="3">
        <v>1</v>
      </c>
      <c r="BS114" s="2">
        <v>43388</v>
      </c>
      <c r="BT114">
        <v>4.0164271047227897</v>
      </c>
      <c r="BU114" t="s">
        <v>23</v>
      </c>
      <c r="BW114" s="2"/>
      <c r="BY114" s="2">
        <v>44334</v>
      </c>
      <c r="BZ114">
        <v>8.5</v>
      </c>
      <c r="CA114">
        <v>1</v>
      </c>
      <c r="CB114">
        <v>21</v>
      </c>
      <c r="CM114" s="13"/>
      <c r="CN114" s="3"/>
    </row>
    <row r="115" spans="52:92" x14ac:dyDescent="0.25">
      <c r="AZ115" s="14" t="s">
        <v>92</v>
      </c>
      <c r="BA115" s="2">
        <v>45195</v>
      </c>
      <c r="BC115" s="3">
        <v>27</v>
      </c>
      <c r="BD115">
        <v>6.5</v>
      </c>
      <c r="BE115">
        <v>1</v>
      </c>
      <c r="BJ115" s="4"/>
      <c r="BL115" s="4"/>
      <c r="BN115" s="4"/>
      <c r="BP115" s="4"/>
      <c r="BQ115" s="4"/>
      <c r="BR115">
        <v>1</v>
      </c>
      <c r="BS115" s="2">
        <v>45195</v>
      </c>
      <c r="BT115">
        <v>5.0951403148528396</v>
      </c>
      <c r="BU115" t="s">
        <v>101</v>
      </c>
      <c r="BV115">
        <v>1</v>
      </c>
      <c r="BW115" s="2">
        <v>45195</v>
      </c>
      <c r="BX115">
        <v>5.0951403148528396</v>
      </c>
      <c r="BY115" s="2">
        <v>45195</v>
      </c>
      <c r="BZ115">
        <v>6.5</v>
      </c>
      <c r="CA115">
        <v>1</v>
      </c>
      <c r="CB115">
        <v>27</v>
      </c>
    </row>
  </sheetData>
  <autoFilter ref="AZ1:CN115" xr:uid="{C0900892-35D9-4FF0-96CF-51B3940D0998}">
    <sortState xmlns:xlrd2="http://schemas.microsoft.com/office/spreadsheetml/2017/richdata2" ref="AZ2:CN115">
      <sortCondition ref="AZ1:AZ115"/>
    </sortState>
  </autoFilter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B9889-321A-40C2-8FD4-B31B5370ECF2}">
  <sheetPr codeName="Tabelle2"/>
  <dimension ref="A1:X135"/>
  <sheetViews>
    <sheetView zoomScaleNormal="100" workbookViewId="0">
      <selection activeCell="A6" sqref="A6"/>
    </sheetView>
  </sheetViews>
  <sheetFormatPr baseColWidth="10" defaultRowHeight="15" x14ac:dyDescent="0.25"/>
  <cols>
    <col min="1" max="1" width="32.28515625" customWidth="1"/>
  </cols>
  <sheetData>
    <row r="1" spans="1:24" x14ac:dyDescent="0.25">
      <c r="A1" t="s">
        <v>147</v>
      </c>
      <c r="B1" s="7" t="s">
        <v>106</v>
      </c>
      <c r="C1" s="8" t="s">
        <v>1</v>
      </c>
      <c r="D1" s="6" t="s">
        <v>4</v>
      </c>
      <c r="E1" s="6" t="s">
        <v>5</v>
      </c>
      <c r="F1" s="6" t="s">
        <v>3</v>
      </c>
      <c r="G1" s="5" t="s">
        <v>107</v>
      </c>
      <c r="H1" s="5" t="s">
        <v>108</v>
      </c>
      <c r="I1" s="5" t="s">
        <v>109</v>
      </c>
      <c r="J1" s="5" t="s">
        <v>110</v>
      </c>
      <c r="K1" s="5" t="s">
        <v>111</v>
      </c>
      <c r="L1" s="5" t="s">
        <v>112</v>
      </c>
      <c r="M1" s="5" t="s">
        <v>113</v>
      </c>
      <c r="N1" s="5" t="s">
        <v>114</v>
      </c>
      <c r="O1" s="5" t="s">
        <v>115</v>
      </c>
      <c r="P1" s="5" t="s">
        <v>116</v>
      </c>
      <c r="Q1" s="5" t="s">
        <v>117</v>
      </c>
      <c r="R1" s="5" t="s">
        <v>118</v>
      </c>
      <c r="S1" s="2" t="s">
        <v>119</v>
      </c>
      <c r="T1" t="s">
        <v>18</v>
      </c>
      <c r="U1" s="2" t="s">
        <v>19</v>
      </c>
      <c r="V1" s="3" t="s">
        <v>20</v>
      </c>
      <c r="W1" t="s">
        <v>120</v>
      </c>
      <c r="X1" t="s">
        <v>21</v>
      </c>
    </row>
    <row r="2" spans="1:24" x14ac:dyDescent="0.25">
      <c r="B2" s="1">
        <v>779893593</v>
      </c>
      <c r="C2" s="2">
        <v>42465</v>
      </c>
      <c r="D2">
        <v>1</v>
      </c>
      <c r="E2">
        <v>0.5</v>
      </c>
      <c r="F2">
        <v>25</v>
      </c>
      <c r="K2" s="1" t="s">
        <v>121</v>
      </c>
      <c r="L2" s="2"/>
      <c r="S2" s="2">
        <v>42107</v>
      </c>
      <c r="T2">
        <v>1</v>
      </c>
      <c r="U2" s="2">
        <v>42838</v>
      </c>
      <c r="V2" s="3">
        <v>2.00136892539357</v>
      </c>
      <c r="W2">
        <f t="shared" ref="W2:W33" si="0">(C2-S2)/365</f>
        <v>0.98082191780821915</v>
      </c>
      <c r="X2" t="s">
        <v>97</v>
      </c>
    </row>
    <row r="3" spans="1:24" x14ac:dyDescent="0.25">
      <c r="B3" s="1" t="s">
        <v>22</v>
      </c>
      <c r="C3" s="2">
        <v>42669</v>
      </c>
      <c r="D3" t="s">
        <v>32</v>
      </c>
      <c r="E3" t="s">
        <v>32</v>
      </c>
      <c r="F3">
        <v>26</v>
      </c>
      <c r="K3" s="1" t="s">
        <v>121</v>
      </c>
      <c r="L3" s="2"/>
      <c r="S3" s="2">
        <v>42305</v>
      </c>
      <c r="T3">
        <v>1</v>
      </c>
      <c r="U3" s="2">
        <v>43045</v>
      </c>
      <c r="V3" s="3">
        <v>2.02600958247776</v>
      </c>
      <c r="W3">
        <f t="shared" si="0"/>
        <v>0.99726027397260275</v>
      </c>
      <c r="X3" t="s">
        <v>97</v>
      </c>
    </row>
    <row r="4" spans="1:24" x14ac:dyDescent="0.25">
      <c r="B4" s="1" t="s">
        <v>26</v>
      </c>
      <c r="C4" s="2">
        <v>42331</v>
      </c>
      <c r="D4">
        <v>4</v>
      </c>
      <c r="E4">
        <v>0.5</v>
      </c>
      <c r="F4">
        <v>20</v>
      </c>
      <c r="K4" s="1" t="s">
        <v>121</v>
      </c>
      <c r="L4" s="2"/>
      <c r="S4" s="2">
        <v>41970</v>
      </c>
      <c r="T4">
        <v>1</v>
      </c>
      <c r="U4" s="2">
        <v>42689</v>
      </c>
      <c r="V4" s="3">
        <v>1.9685147159479801</v>
      </c>
      <c r="W4">
        <f t="shared" si="0"/>
        <v>0.989041095890411</v>
      </c>
      <c r="X4" t="s">
        <v>97</v>
      </c>
    </row>
    <row r="5" spans="1:24" x14ac:dyDescent="0.25">
      <c r="B5" s="1" t="s">
        <v>27</v>
      </c>
      <c r="C5" s="2">
        <v>43508</v>
      </c>
      <c r="D5">
        <v>1</v>
      </c>
      <c r="E5">
        <v>0.5</v>
      </c>
      <c r="F5">
        <v>26</v>
      </c>
      <c r="K5" s="1" t="s">
        <v>121</v>
      </c>
      <c r="L5" s="2"/>
      <c r="S5" s="2">
        <v>43046</v>
      </c>
      <c r="T5">
        <v>1</v>
      </c>
      <c r="U5" s="2">
        <v>44539</v>
      </c>
      <c r="V5" s="3">
        <v>4.0876112251882297</v>
      </c>
      <c r="W5">
        <f t="shared" si="0"/>
        <v>1.2657534246575342</v>
      </c>
      <c r="X5" t="s">
        <v>97</v>
      </c>
    </row>
    <row r="6" spans="1:24" x14ac:dyDescent="0.25">
      <c r="B6" s="1" t="s">
        <v>27</v>
      </c>
      <c r="C6" s="2">
        <v>43864</v>
      </c>
      <c r="D6">
        <v>2</v>
      </c>
      <c r="E6">
        <v>0.5</v>
      </c>
      <c r="F6">
        <v>25</v>
      </c>
      <c r="K6" s="1" t="s">
        <v>121</v>
      </c>
      <c r="L6" s="2"/>
      <c r="S6" s="2">
        <v>43046</v>
      </c>
      <c r="T6">
        <v>1</v>
      </c>
      <c r="U6" s="2">
        <v>44539</v>
      </c>
      <c r="V6" s="3">
        <v>4.0876112251882297</v>
      </c>
      <c r="W6">
        <f t="shared" si="0"/>
        <v>2.2410958904109588</v>
      </c>
      <c r="X6" t="s">
        <v>98</v>
      </c>
    </row>
    <row r="7" spans="1:24" x14ac:dyDescent="0.25">
      <c r="B7" s="1" t="s">
        <v>28</v>
      </c>
      <c r="C7" s="2">
        <v>42886</v>
      </c>
      <c r="D7">
        <v>6</v>
      </c>
      <c r="E7">
        <v>1</v>
      </c>
      <c r="F7">
        <v>26</v>
      </c>
      <c r="G7">
        <v>1947.44899177395</v>
      </c>
      <c r="H7">
        <v>5.22507304245842</v>
      </c>
      <c r="I7">
        <v>5267.5799002125696</v>
      </c>
      <c r="J7">
        <v>2.79226238088193</v>
      </c>
      <c r="K7" s="9">
        <v>287.96062903639398</v>
      </c>
      <c r="L7" s="2">
        <v>0.76113088743037904</v>
      </c>
      <c r="M7">
        <v>440.32902368360902</v>
      </c>
      <c r="N7">
        <v>0.61580936628932303</v>
      </c>
      <c r="O7">
        <v>55.012</v>
      </c>
      <c r="P7">
        <v>1.2387999999999999</v>
      </c>
      <c r="Q7" s="4">
        <v>5.4666589684719068E-2</v>
      </c>
      <c r="R7" s="4">
        <v>5.2345057266849766</v>
      </c>
      <c r="S7" s="2">
        <v>42130</v>
      </c>
      <c r="T7">
        <v>1</v>
      </c>
      <c r="U7" s="2">
        <v>43229</v>
      </c>
      <c r="V7" s="3">
        <v>3.0088980150581799</v>
      </c>
      <c r="W7">
        <f t="shared" si="0"/>
        <v>2.0712328767123287</v>
      </c>
      <c r="X7" t="s">
        <v>98</v>
      </c>
    </row>
    <row r="8" spans="1:24" x14ac:dyDescent="0.25">
      <c r="B8" s="1" t="s">
        <v>28</v>
      </c>
      <c r="C8" s="2">
        <v>42515</v>
      </c>
      <c r="D8">
        <v>2.5</v>
      </c>
      <c r="E8">
        <v>0.5</v>
      </c>
      <c r="F8">
        <v>27</v>
      </c>
      <c r="K8" s="1" t="s">
        <v>121</v>
      </c>
      <c r="L8" s="2"/>
      <c r="S8" s="2">
        <v>42130</v>
      </c>
      <c r="T8">
        <v>1</v>
      </c>
      <c r="U8" s="2">
        <v>43229</v>
      </c>
      <c r="V8" s="3">
        <v>3.0088980150581799</v>
      </c>
      <c r="W8">
        <f t="shared" si="0"/>
        <v>1.0547945205479452</v>
      </c>
      <c r="X8" t="s">
        <v>97</v>
      </c>
    </row>
    <row r="9" spans="1:24" x14ac:dyDescent="0.25">
      <c r="B9" s="1" t="s">
        <v>33</v>
      </c>
      <c r="C9" s="2">
        <v>43447</v>
      </c>
      <c r="D9">
        <v>0.5</v>
      </c>
      <c r="E9">
        <v>0.5</v>
      </c>
      <c r="F9">
        <v>29</v>
      </c>
      <c r="G9">
        <v>3216.72408551325</v>
      </c>
      <c r="H9">
        <v>1.0615683799669799</v>
      </c>
      <c r="I9">
        <v>8502.7197425560098</v>
      </c>
      <c r="J9">
        <v>2.24433991591156</v>
      </c>
      <c r="K9" s="9">
        <v>579.78529702510798</v>
      </c>
      <c r="L9" s="2">
        <v>3.8597249393599999</v>
      </c>
      <c r="M9">
        <v>391.31569020134702</v>
      </c>
      <c r="N9">
        <v>2.7657178160768501</v>
      </c>
      <c r="O9">
        <v>51.637999999999998</v>
      </c>
      <c r="P9">
        <v>2.3904000000000001</v>
      </c>
      <c r="Q9" s="4">
        <v>6.8188216780013286E-2</v>
      </c>
      <c r="R9">
        <v>11.227880572932881</v>
      </c>
      <c r="S9" s="2">
        <v>41988</v>
      </c>
      <c r="T9">
        <v>1</v>
      </c>
      <c r="U9" s="2">
        <v>44902</v>
      </c>
      <c r="V9" s="3">
        <v>7.9780971937029399</v>
      </c>
      <c r="W9">
        <f t="shared" si="0"/>
        <v>3.9972602739726026</v>
      </c>
      <c r="X9" t="s">
        <v>100</v>
      </c>
    </row>
    <row r="10" spans="1:24" x14ac:dyDescent="0.25">
      <c r="B10" s="1" t="s">
        <v>33</v>
      </c>
      <c r="C10" s="2">
        <v>42710</v>
      </c>
      <c r="D10">
        <v>0</v>
      </c>
      <c r="E10">
        <v>0</v>
      </c>
      <c r="F10">
        <v>28</v>
      </c>
      <c r="G10">
        <v>2406.3415125051001</v>
      </c>
      <c r="H10">
        <v>2.7850344327128602</v>
      </c>
      <c r="I10">
        <v>7153.8851096517001</v>
      </c>
      <c r="J10">
        <v>1.84627723026069</v>
      </c>
      <c r="K10" s="9">
        <v>506.39162390218701</v>
      </c>
      <c r="L10" s="2">
        <v>0.27932041000292201</v>
      </c>
      <c r="M10">
        <v>343.01927625126098</v>
      </c>
      <c r="N10">
        <v>5.5642026617887304</v>
      </c>
      <c r="O10">
        <v>42.688000000000002</v>
      </c>
      <c r="P10">
        <v>2.8973</v>
      </c>
      <c r="Q10" s="4">
        <v>7.0785540463738542E-2</v>
      </c>
      <c r="R10">
        <v>11.8626223740205</v>
      </c>
      <c r="S10" s="2">
        <v>41988</v>
      </c>
      <c r="T10">
        <v>1</v>
      </c>
      <c r="U10" s="2">
        <v>44902</v>
      </c>
      <c r="V10" s="3">
        <v>7.9780971937029399</v>
      </c>
      <c r="W10">
        <f t="shared" si="0"/>
        <v>1.978082191780822</v>
      </c>
      <c r="X10" t="s">
        <v>98</v>
      </c>
    </row>
    <row r="11" spans="1:24" x14ac:dyDescent="0.25">
      <c r="B11" s="1" t="s">
        <v>33</v>
      </c>
      <c r="C11" s="2">
        <v>42345</v>
      </c>
      <c r="D11">
        <v>0</v>
      </c>
      <c r="E11">
        <v>0</v>
      </c>
      <c r="F11">
        <v>29</v>
      </c>
      <c r="K11" s="1" t="s">
        <v>121</v>
      </c>
      <c r="L11" s="2"/>
      <c r="S11" s="2">
        <v>41988</v>
      </c>
      <c r="T11">
        <v>1</v>
      </c>
      <c r="U11" s="2">
        <v>44902</v>
      </c>
      <c r="V11" s="3">
        <v>7.9780971937029399</v>
      </c>
      <c r="W11">
        <f t="shared" si="0"/>
        <v>0.9780821917808219</v>
      </c>
      <c r="X11" t="s">
        <v>97</v>
      </c>
    </row>
    <row r="12" spans="1:24" x14ac:dyDescent="0.25">
      <c r="B12" s="1" t="s">
        <v>33</v>
      </c>
      <c r="C12" s="2">
        <v>43080</v>
      </c>
      <c r="D12">
        <v>0</v>
      </c>
      <c r="E12">
        <v>0</v>
      </c>
      <c r="F12">
        <v>30</v>
      </c>
      <c r="K12" s="1" t="s">
        <v>121</v>
      </c>
      <c r="L12" s="2"/>
      <c r="S12" s="2">
        <v>41988</v>
      </c>
      <c r="T12">
        <v>1</v>
      </c>
      <c r="U12" s="2">
        <v>44902</v>
      </c>
      <c r="V12" s="3">
        <v>7.9780971937029399</v>
      </c>
      <c r="W12">
        <f t="shared" si="0"/>
        <v>2.9917808219178084</v>
      </c>
      <c r="X12" t="s">
        <v>99</v>
      </c>
    </row>
    <row r="13" spans="1:24" x14ac:dyDescent="0.25">
      <c r="B13" s="1" t="s">
        <v>34</v>
      </c>
      <c r="C13" s="2">
        <v>43362</v>
      </c>
      <c r="D13">
        <v>2.5</v>
      </c>
      <c r="E13">
        <v>0.5</v>
      </c>
      <c r="F13">
        <v>29</v>
      </c>
      <c r="G13">
        <v>6466.1658020479999</v>
      </c>
      <c r="H13">
        <v>0.383334950314002</v>
      </c>
      <c r="I13">
        <v>15428.446375751701</v>
      </c>
      <c r="J13">
        <v>2.0652838732587702</v>
      </c>
      <c r="K13" s="1">
        <v>711.91102191861205</v>
      </c>
      <c r="L13" s="2">
        <v>3.3689373333599599</v>
      </c>
      <c r="M13" s="4">
        <v>1581.8200644012099</v>
      </c>
      <c r="N13">
        <v>2.7529558927467201</v>
      </c>
      <c r="O13" s="4">
        <v>228.06</v>
      </c>
      <c r="P13">
        <v>9.4878</v>
      </c>
      <c r="Q13" s="4">
        <v>4.6142755050015617E-2</v>
      </c>
      <c r="R13" s="4">
        <v>3.1215952903560988</v>
      </c>
      <c r="S13" s="2">
        <v>43003</v>
      </c>
      <c r="T13">
        <v>1</v>
      </c>
      <c r="U13" s="2">
        <v>43740</v>
      </c>
      <c r="V13" s="3">
        <v>2.0177960301163602</v>
      </c>
      <c r="W13">
        <f t="shared" si="0"/>
        <v>0.98356164383561639</v>
      </c>
      <c r="X13" t="s">
        <v>97</v>
      </c>
    </row>
    <row r="14" spans="1:24" x14ac:dyDescent="0.25">
      <c r="B14" s="1" t="s">
        <v>35</v>
      </c>
      <c r="C14" s="2">
        <v>43208</v>
      </c>
      <c r="D14">
        <v>1.5</v>
      </c>
      <c r="E14">
        <v>0.5</v>
      </c>
      <c r="F14">
        <v>23</v>
      </c>
      <c r="K14" s="1" t="s">
        <v>121</v>
      </c>
      <c r="L14" s="2"/>
      <c r="S14" s="2">
        <v>42845</v>
      </c>
      <c r="T14">
        <v>1</v>
      </c>
      <c r="U14" s="2">
        <v>44664</v>
      </c>
      <c r="V14" s="3">
        <v>4.9801505817932901</v>
      </c>
      <c r="W14">
        <f t="shared" si="0"/>
        <v>0.9945205479452055</v>
      </c>
      <c r="X14" t="s">
        <v>97</v>
      </c>
    </row>
    <row r="15" spans="1:24" x14ac:dyDescent="0.25">
      <c r="B15" s="1" t="s">
        <v>35</v>
      </c>
      <c r="C15" s="2">
        <v>43563</v>
      </c>
      <c r="D15">
        <v>1.5</v>
      </c>
      <c r="E15">
        <v>0.5</v>
      </c>
      <c r="F15">
        <v>25</v>
      </c>
      <c r="K15" s="1" t="s">
        <v>121</v>
      </c>
      <c r="L15" s="2"/>
      <c r="S15" s="2">
        <v>42845</v>
      </c>
      <c r="T15">
        <v>1</v>
      </c>
      <c r="U15" s="2">
        <v>44664</v>
      </c>
      <c r="V15" s="3">
        <v>4.9801505817932901</v>
      </c>
      <c r="W15">
        <f t="shared" si="0"/>
        <v>1.9671232876712328</v>
      </c>
      <c r="X15" t="s">
        <v>98</v>
      </c>
    </row>
    <row r="16" spans="1:24" x14ac:dyDescent="0.25">
      <c r="B16" s="1" t="s">
        <v>37</v>
      </c>
      <c r="C16" s="2">
        <v>43601</v>
      </c>
      <c r="D16">
        <v>1.5</v>
      </c>
      <c r="E16">
        <v>0.5</v>
      </c>
      <c r="F16">
        <v>27</v>
      </c>
      <c r="K16" s="1" t="s">
        <v>121</v>
      </c>
      <c r="L16" s="2"/>
      <c r="S16" s="2">
        <v>43185</v>
      </c>
      <c r="T16">
        <v>1</v>
      </c>
      <c r="U16" s="2">
        <v>44265</v>
      </c>
      <c r="V16" s="3">
        <v>2.9568788501026702</v>
      </c>
      <c r="W16">
        <f t="shared" si="0"/>
        <v>1.1397260273972603</v>
      </c>
      <c r="X16" t="s">
        <v>97</v>
      </c>
    </row>
    <row r="17" spans="2:24" x14ac:dyDescent="0.25">
      <c r="B17" s="1" t="s">
        <v>39</v>
      </c>
      <c r="C17" s="2">
        <v>43199</v>
      </c>
      <c r="D17">
        <v>6</v>
      </c>
      <c r="E17">
        <v>1</v>
      </c>
      <c r="F17">
        <v>24</v>
      </c>
      <c r="K17" s="1" t="s">
        <v>121</v>
      </c>
      <c r="L17" s="2"/>
      <c r="S17" s="2">
        <v>42821</v>
      </c>
      <c r="T17">
        <v>1</v>
      </c>
      <c r="U17" s="2">
        <v>43528</v>
      </c>
      <c r="V17" s="3">
        <v>1.9356605065024</v>
      </c>
      <c r="W17">
        <f t="shared" si="0"/>
        <v>1.0356164383561643</v>
      </c>
      <c r="X17" t="s">
        <v>97</v>
      </c>
    </row>
    <row r="18" spans="2:24" x14ac:dyDescent="0.25">
      <c r="B18" s="1" t="s">
        <v>39</v>
      </c>
      <c r="C18" s="2">
        <v>43528</v>
      </c>
      <c r="D18">
        <v>6</v>
      </c>
      <c r="E18">
        <v>1</v>
      </c>
      <c r="F18">
        <v>22</v>
      </c>
      <c r="K18" s="1" t="s">
        <v>121</v>
      </c>
      <c r="L18" s="2"/>
      <c r="S18" s="2">
        <v>42821</v>
      </c>
      <c r="T18">
        <v>1</v>
      </c>
      <c r="U18" s="2">
        <v>43528</v>
      </c>
      <c r="V18" s="3">
        <v>1.9356605065024</v>
      </c>
      <c r="W18">
        <f t="shared" si="0"/>
        <v>1.9369863013698629</v>
      </c>
      <c r="X18" t="s">
        <v>98</v>
      </c>
    </row>
    <row r="19" spans="2:24" x14ac:dyDescent="0.25">
      <c r="B19" s="1" t="s">
        <v>40</v>
      </c>
      <c r="C19" s="2">
        <v>42304</v>
      </c>
      <c r="D19">
        <v>3</v>
      </c>
      <c r="E19">
        <v>0.5</v>
      </c>
      <c r="F19">
        <v>25</v>
      </c>
      <c r="S19" s="2">
        <v>41932</v>
      </c>
      <c r="T19">
        <v>1</v>
      </c>
      <c r="U19" s="2">
        <v>42650</v>
      </c>
      <c r="V19" s="3">
        <v>1.96577686516085</v>
      </c>
      <c r="W19">
        <f t="shared" si="0"/>
        <v>1.0191780821917809</v>
      </c>
      <c r="X19" t="s">
        <v>97</v>
      </c>
    </row>
    <row r="20" spans="2:24" x14ac:dyDescent="0.25">
      <c r="B20" s="1" t="s">
        <v>42</v>
      </c>
      <c r="C20" s="2">
        <v>43474</v>
      </c>
      <c r="D20">
        <v>1.5</v>
      </c>
      <c r="E20">
        <v>0.5</v>
      </c>
      <c r="F20">
        <v>25</v>
      </c>
      <c r="G20">
        <v>2754.2955122665198</v>
      </c>
      <c r="H20">
        <v>1.5856208250700701</v>
      </c>
      <c r="I20">
        <v>8726.4547389355503</v>
      </c>
      <c r="J20">
        <v>2.9366892075504598</v>
      </c>
      <c r="K20" s="9">
        <v>450.39897842911103</v>
      </c>
      <c r="L20" s="2">
        <v>1.1585477173799601</v>
      </c>
      <c r="M20" s="4">
        <v>687.78111994533299</v>
      </c>
      <c r="N20">
        <v>5.1868206426599404</v>
      </c>
      <c r="O20" s="4">
        <v>96.789000000000001</v>
      </c>
      <c r="P20">
        <v>1.3854</v>
      </c>
      <c r="Q20" s="4">
        <v>5.1613053857888967E-2</v>
      </c>
      <c r="R20" s="4">
        <v>4.6534108052476109</v>
      </c>
      <c r="S20" s="2">
        <v>42704</v>
      </c>
      <c r="T20">
        <v>1</v>
      </c>
      <c r="U20" s="2">
        <v>43808</v>
      </c>
      <c r="V20" s="3">
        <v>3.0225872689938398</v>
      </c>
      <c r="W20">
        <f t="shared" si="0"/>
        <v>2.1095890410958904</v>
      </c>
      <c r="X20" t="s">
        <v>98</v>
      </c>
    </row>
    <row r="21" spans="2:24" x14ac:dyDescent="0.25">
      <c r="B21" s="1" t="s">
        <v>42</v>
      </c>
      <c r="C21" s="2">
        <v>43109</v>
      </c>
      <c r="D21">
        <v>0.5</v>
      </c>
      <c r="E21">
        <v>0.5</v>
      </c>
      <c r="F21">
        <v>28</v>
      </c>
      <c r="K21" s="1" t="s">
        <v>121</v>
      </c>
      <c r="L21" s="2"/>
      <c r="S21" s="2">
        <v>42704</v>
      </c>
      <c r="T21">
        <v>1</v>
      </c>
      <c r="U21" s="2">
        <v>43808</v>
      </c>
      <c r="V21" s="3">
        <v>3.0225872689938398</v>
      </c>
      <c r="W21">
        <f t="shared" si="0"/>
        <v>1.1095890410958904</v>
      </c>
      <c r="X21" t="s">
        <v>97</v>
      </c>
    </row>
    <row r="22" spans="2:24" x14ac:dyDescent="0.25">
      <c r="B22" s="1" t="s">
        <v>45</v>
      </c>
      <c r="C22" s="2">
        <v>42814</v>
      </c>
      <c r="D22">
        <v>2.5</v>
      </c>
      <c r="E22">
        <v>0.5</v>
      </c>
      <c r="F22">
        <v>29</v>
      </c>
      <c r="K22" s="1" t="s">
        <v>121</v>
      </c>
      <c r="L22" s="2"/>
      <c r="S22" s="2">
        <v>42460</v>
      </c>
      <c r="T22">
        <v>1</v>
      </c>
      <c r="U22" s="2">
        <v>43955</v>
      </c>
      <c r="V22" s="3">
        <v>4.0930869267624903</v>
      </c>
      <c r="W22">
        <f t="shared" si="0"/>
        <v>0.96986301369863015</v>
      </c>
      <c r="X22" t="s">
        <v>97</v>
      </c>
    </row>
    <row r="23" spans="2:24" x14ac:dyDescent="0.25">
      <c r="B23" s="1" t="s">
        <v>45</v>
      </c>
      <c r="C23" s="2">
        <v>43552</v>
      </c>
      <c r="D23">
        <v>5.5</v>
      </c>
      <c r="E23">
        <v>1</v>
      </c>
      <c r="F23">
        <v>28</v>
      </c>
      <c r="K23" s="1" t="s">
        <v>121</v>
      </c>
      <c r="L23" s="2"/>
      <c r="S23" s="2">
        <v>42460</v>
      </c>
      <c r="T23">
        <v>1</v>
      </c>
      <c r="U23" s="2">
        <v>43955</v>
      </c>
      <c r="V23" s="3">
        <v>4.0930869267624903</v>
      </c>
      <c r="W23">
        <f t="shared" si="0"/>
        <v>2.9917808219178084</v>
      </c>
      <c r="X23" t="s">
        <v>99</v>
      </c>
    </row>
    <row r="24" spans="2:24" x14ac:dyDescent="0.25">
      <c r="B24" s="1" t="s">
        <v>48</v>
      </c>
      <c r="C24" s="2">
        <v>43292</v>
      </c>
      <c r="D24">
        <v>2.5</v>
      </c>
      <c r="E24">
        <v>0.5</v>
      </c>
      <c r="F24">
        <v>25</v>
      </c>
      <c r="G24">
        <v>3226.0164007683902</v>
      </c>
      <c r="H24">
        <v>0.31274881713054797</v>
      </c>
      <c r="I24">
        <v>8553.2634141645103</v>
      </c>
      <c r="J24">
        <v>3.0744976070306702</v>
      </c>
      <c r="K24" s="1">
        <v>966.08805277387296</v>
      </c>
      <c r="L24" s="2">
        <v>0.23841799514114101</v>
      </c>
      <c r="M24">
        <v>231.80415638419001</v>
      </c>
      <c r="N24">
        <v>3.9172859115108301</v>
      </c>
      <c r="O24">
        <v>51.600999999999999</v>
      </c>
      <c r="P24">
        <v>2.8256999999999999</v>
      </c>
      <c r="Q24">
        <v>0.1129496434277935</v>
      </c>
      <c r="R24">
        <v>18.722273846899729</v>
      </c>
      <c r="S24" s="2">
        <v>42913</v>
      </c>
      <c r="T24">
        <v>1</v>
      </c>
      <c r="U24" s="2">
        <v>43635</v>
      </c>
      <c r="V24" s="3">
        <v>1.9767282683093801</v>
      </c>
      <c r="W24">
        <f t="shared" si="0"/>
        <v>1.0383561643835617</v>
      </c>
      <c r="X24" t="s">
        <v>97</v>
      </c>
    </row>
    <row r="25" spans="2:24" x14ac:dyDescent="0.25">
      <c r="B25" s="1" t="s">
        <v>49</v>
      </c>
      <c r="C25" s="2">
        <v>42338</v>
      </c>
      <c r="D25">
        <v>3.5</v>
      </c>
      <c r="E25">
        <v>0.5</v>
      </c>
      <c r="F25" t="s">
        <v>32</v>
      </c>
      <c r="K25" s="1" t="s">
        <v>121</v>
      </c>
      <c r="L25" s="2"/>
      <c r="S25" s="2">
        <v>41963</v>
      </c>
      <c r="T25">
        <v>1</v>
      </c>
      <c r="U25" s="2">
        <v>42711</v>
      </c>
      <c r="V25" s="3">
        <v>2.0479123887748099</v>
      </c>
      <c r="W25">
        <f t="shared" si="0"/>
        <v>1.0273972602739727</v>
      </c>
      <c r="X25" t="s">
        <v>97</v>
      </c>
    </row>
    <row r="26" spans="2:24" x14ac:dyDescent="0.25">
      <c r="B26" s="1" t="s">
        <v>50</v>
      </c>
      <c r="C26" s="2">
        <v>42437</v>
      </c>
      <c r="D26">
        <v>4.5</v>
      </c>
      <c r="E26">
        <v>1</v>
      </c>
      <c r="F26">
        <v>28</v>
      </c>
      <c r="K26" s="1" t="s">
        <v>121</v>
      </c>
      <c r="L26" s="2"/>
      <c r="S26" s="2">
        <v>42067</v>
      </c>
      <c r="T26">
        <v>1</v>
      </c>
      <c r="U26" s="2">
        <v>42803</v>
      </c>
      <c r="V26" s="3">
        <v>2.0150581793292299</v>
      </c>
      <c r="W26">
        <f t="shared" si="0"/>
        <v>1.0136986301369864</v>
      </c>
      <c r="X26" t="s">
        <v>97</v>
      </c>
    </row>
    <row r="27" spans="2:24" x14ac:dyDescent="0.25">
      <c r="B27" s="1" t="s">
        <v>51</v>
      </c>
      <c r="C27" s="2">
        <v>42474</v>
      </c>
      <c r="D27">
        <v>8</v>
      </c>
      <c r="E27">
        <v>1</v>
      </c>
      <c r="F27">
        <v>26</v>
      </c>
      <c r="K27" s="1" t="s">
        <v>121</v>
      </c>
      <c r="L27" s="2"/>
      <c r="S27" s="2">
        <v>42088</v>
      </c>
      <c r="T27">
        <v>1</v>
      </c>
      <c r="U27" s="2">
        <v>43186</v>
      </c>
      <c r="V27" s="3">
        <v>3.00616016427105</v>
      </c>
      <c r="W27">
        <f t="shared" si="0"/>
        <v>1.0575342465753426</v>
      </c>
      <c r="X27" t="s">
        <v>97</v>
      </c>
    </row>
    <row r="28" spans="2:24" x14ac:dyDescent="0.25">
      <c r="B28" s="1" t="s">
        <v>51</v>
      </c>
      <c r="C28" s="2">
        <v>42822</v>
      </c>
      <c r="D28">
        <v>3.5</v>
      </c>
      <c r="E28">
        <v>0.5</v>
      </c>
      <c r="F28">
        <v>25</v>
      </c>
      <c r="K28" s="1" t="s">
        <v>121</v>
      </c>
      <c r="L28" s="2"/>
      <c r="S28" s="2">
        <v>42088</v>
      </c>
      <c r="T28">
        <v>1</v>
      </c>
      <c r="U28" s="2">
        <v>43186</v>
      </c>
      <c r="V28" s="3">
        <v>3.00616016427105</v>
      </c>
      <c r="W28">
        <f t="shared" si="0"/>
        <v>2.010958904109589</v>
      </c>
      <c r="X28" t="s">
        <v>98</v>
      </c>
    </row>
    <row r="29" spans="2:24" x14ac:dyDescent="0.25">
      <c r="B29" s="1" t="s">
        <v>52</v>
      </c>
      <c r="C29" s="2">
        <v>43236</v>
      </c>
      <c r="D29">
        <v>2</v>
      </c>
      <c r="E29">
        <v>0.5</v>
      </c>
      <c r="F29">
        <v>26</v>
      </c>
      <c r="G29">
        <v>4369.8778091075501</v>
      </c>
      <c r="H29">
        <v>0.16636805140968999</v>
      </c>
      <c r="I29">
        <v>10560.2002335293</v>
      </c>
      <c r="J29">
        <v>4.3464326279237504</v>
      </c>
      <c r="K29" s="1">
        <v>656.30281386493402</v>
      </c>
      <c r="L29" s="2">
        <v>2.2523464619102498</v>
      </c>
      <c r="M29">
        <v>423.15050275396601</v>
      </c>
      <c r="N29">
        <v>0.86058310138652305</v>
      </c>
      <c r="O29" s="4">
        <v>75.341999999999999</v>
      </c>
      <c r="P29">
        <v>2.4870000000000001</v>
      </c>
      <c r="Q29" s="4">
        <v>6.2148709243327729E-2</v>
      </c>
      <c r="R29" s="4">
        <v>8.7109821064603281</v>
      </c>
      <c r="S29" s="2">
        <v>42137</v>
      </c>
      <c r="T29">
        <v>1</v>
      </c>
      <c r="U29" s="2">
        <v>43593</v>
      </c>
      <c r="V29" s="3">
        <v>3.9863107460643401</v>
      </c>
      <c r="W29">
        <f t="shared" si="0"/>
        <v>3.010958904109589</v>
      </c>
      <c r="X29" t="s">
        <v>99</v>
      </c>
    </row>
    <row r="30" spans="2:24" x14ac:dyDescent="0.25">
      <c r="B30" s="1" t="s">
        <v>52</v>
      </c>
      <c r="C30" s="2">
        <v>42500</v>
      </c>
      <c r="D30">
        <v>2</v>
      </c>
      <c r="E30">
        <v>0.5</v>
      </c>
      <c r="F30">
        <v>28</v>
      </c>
      <c r="K30" s="1" t="s">
        <v>121</v>
      </c>
      <c r="L30" s="2"/>
      <c r="S30" s="2">
        <v>42137</v>
      </c>
      <c r="T30">
        <v>1</v>
      </c>
      <c r="U30" s="2">
        <v>43593</v>
      </c>
      <c r="V30" s="3">
        <v>3.9863107460643401</v>
      </c>
      <c r="W30">
        <f t="shared" si="0"/>
        <v>0.9945205479452055</v>
      </c>
      <c r="X30" t="s">
        <v>97</v>
      </c>
    </row>
    <row r="31" spans="2:24" x14ac:dyDescent="0.25">
      <c r="B31" s="1" t="s">
        <v>52</v>
      </c>
      <c r="C31" s="2">
        <v>42864</v>
      </c>
      <c r="D31">
        <v>2</v>
      </c>
      <c r="E31">
        <v>0.5</v>
      </c>
      <c r="F31">
        <v>27</v>
      </c>
      <c r="K31" s="1" t="s">
        <v>121</v>
      </c>
      <c r="L31" s="2"/>
      <c r="S31" s="2">
        <v>42137</v>
      </c>
      <c r="T31">
        <v>1</v>
      </c>
      <c r="U31" s="2">
        <v>43593</v>
      </c>
      <c r="V31" s="3">
        <v>3.9863107460643401</v>
      </c>
      <c r="W31">
        <f t="shared" si="0"/>
        <v>1.9917808219178081</v>
      </c>
      <c r="X31" t="s">
        <v>98</v>
      </c>
    </row>
    <row r="32" spans="2:24" x14ac:dyDescent="0.25">
      <c r="B32" s="1" t="s">
        <v>53</v>
      </c>
      <c r="C32" s="2">
        <v>42403</v>
      </c>
      <c r="D32">
        <v>1</v>
      </c>
      <c r="E32">
        <v>0.5</v>
      </c>
      <c r="F32">
        <v>28</v>
      </c>
      <c r="G32">
        <v>3508.2389410942801</v>
      </c>
      <c r="H32">
        <v>0.97821451992338704</v>
      </c>
      <c r="I32">
        <v>8817.6092127051797</v>
      </c>
      <c r="J32">
        <v>2.16981006608659</v>
      </c>
      <c r="K32" s="9">
        <v>473.34088915660999</v>
      </c>
      <c r="L32" s="2">
        <v>0.75425225557675801</v>
      </c>
      <c r="M32">
        <v>456.789907601327</v>
      </c>
      <c r="N32">
        <v>4.0158197338004902</v>
      </c>
      <c r="O32" s="4">
        <v>76.465000000000003</v>
      </c>
      <c r="P32">
        <v>0.16642999999999999</v>
      </c>
      <c r="Q32" s="4">
        <v>5.3681318568141942E-2</v>
      </c>
      <c r="R32" s="4">
        <v>6.19029476435768</v>
      </c>
      <c r="S32" s="2">
        <v>42044</v>
      </c>
      <c r="T32">
        <v>1</v>
      </c>
      <c r="U32" s="2">
        <v>44232</v>
      </c>
      <c r="V32" s="3">
        <v>5.99041752224504</v>
      </c>
      <c r="W32">
        <f t="shared" si="0"/>
        <v>0.98356164383561639</v>
      </c>
      <c r="X32" t="s">
        <v>97</v>
      </c>
    </row>
    <row r="33" spans="2:24" x14ac:dyDescent="0.25">
      <c r="B33" s="1" t="s">
        <v>53</v>
      </c>
      <c r="C33" s="2">
        <v>43124</v>
      </c>
      <c r="D33">
        <v>0</v>
      </c>
      <c r="E33">
        <v>0</v>
      </c>
      <c r="F33">
        <v>29</v>
      </c>
      <c r="G33">
        <v>4367.1078385348401</v>
      </c>
      <c r="H33">
        <v>7.3385114925780597</v>
      </c>
      <c r="I33">
        <v>11532.9192488958</v>
      </c>
      <c r="J33">
        <v>1.9418671904815299</v>
      </c>
      <c r="K33" s="9">
        <v>593.08911115176295</v>
      </c>
      <c r="L33" s="2">
        <v>1.6530224376382501</v>
      </c>
      <c r="M33">
        <v>478.86703845164601</v>
      </c>
      <c r="N33">
        <v>1.6782007013775899</v>
      </c>
      <c r="O33" s="4">
        <v>86.183999999999997</v>
      </c>
      <c r="P33">
        <v>0.65437999999999996</v>
      </c>
      <c r="Q33" s="4">
        <v>5.1425757724658253E-2</v>
      </c>
      <c r="R33" s="4">
        <v>6.8816614586438662</v>
      </c>
      <c r="S33" s="2">
        <v>42044</v>
      </c>
      <c r="T33">
        <v>1</v>
      </c>
      <c r="U33" s="2">
        <v>44232</v>
      </c>
      <c r="V33" s="3">
        <v>5.99041752224504</v>
      </c>
      <c r="W33">
        <f t="shared" si="0"/>
        <v>2.9589041095890409</v>
      </c>
      <c r="X33" t="s">
        <v>99</v>
      </c>
    </row>
    <row r="34" spans="2:24" x14ac:dyDescent="0.25">
      <c r="B34" s="1" t="s">
        <v>53</v>
      </c>
      <c r="C34" s="2">
        <v>42788</v>
      </c>
      <c r="D34">
        <v>1</v>
      </c>
      <c r="E34">
        <v>0.5</v>
      </c>
      <c r="F34">
        <v>27</v>
      </c>
      <c r="K34" s="1" t="s">
        <v>121</v>
      </c>
      <c r="L34" s="2"/>
      <c r="S34" s="2">
        <v>42044</v>
      </c>
      <c r="T34">
        <v>1</v>
      </c>
      <c r="U34" s="2">
        <v>44232</v>
      </c>
      <c r="V34" s="3">
        <v>5.99041752224504</v>
      </c>
      <c r="W34">
        <f t="shared" ref="W34:W65" si="1">(C34-S34)/365</f>
        <v>2.0383561643835617</v>
      </c>
      <c r="X34" t="s">
        <v>98</v>
      </c>
    </row>
    <row r="35" spans="2:24" x14ac:dyDescent="0.25">
      <c r="B35" s="1" t="s">
        <v>53</v>
      </c>
      <c r="C35" s="2">
        <v>43509</v>
      </c>
      <c r="D35">
        <v>0.5</v>
      </c>
      <c r="E35">
        <v>0.5</v>
      </c>
      <c r="F35">
        <v>29</v>
      </c>
      <c r="K35" s="1" t="s">
        <v>121</v>
      </c>
      <c r="L35" s="2"/>
      <c r="S35" s="2">
        <v>42044</v>
      </c>
      <c r="T35">
        <v>1</v>
      </c>
      <c r="U35" s="2">
        <v>44232</v>
      </c>
      <c r="V35" s="3">
        <v>5.99041752224504</v>
      </c>
      <c r="W35">
        <f t="shared" si="1"/>
        <v>4.0136986301369859</v>
      </c>
      <c r="X35" t="s">
        <v>100</v>
      </c>
    </row>
    <row r="36" spans="2:24" x14ac:dyDescent="0.25">
      <c r="B36" s="1" t="s">
        <v>54</v>
      </c>
      <c r="C36" s="2">
        <v>43762</v>
      </c>
      <c r="D36">
        <v>3</v>
      </c>
      <c r="E36">
        <v>0.5</v>
      </c>
      <c r="F36">
        <v>26</v>
      </c>
      <c r="K36" s="1" t="s">
        <v>121</v>
      </c>
      <c r="L36" s="2"/>
      <c r="S36" s="2">
        <v>43333</v>
      </c>
      <c r="T36">
        <v>1</v>
      </c>
      <c r="U36" s="2">
        <v>45147</v>
      </c>
      <c r="V36" s="3">
        <v>4.9664613278576297</v>
      </c>
      <c r="W36">
        <f t="shared" si="1"/>
        <v>1.1753424657534246</v>
      </c>
      <c r="X36" t="s">
        <v>97</v>
      </c>
    </row>
    <row r="37" spans="2:24" x14ac:dyDescent="0.25">
      <c r="B37" s="1" t="s">
        <v>55</v>
      </c>
      <c r="C37" s="2">
        <v>43234</v>
      </c>
      <c r="D37">
        <v>2</v>
      </c>
      <c r="E37">
        <v>0.5</v>
      </c>
      <c r="F37">
        <v>27</v>
      </c>
      <c r="G37">
        <v>3763.2578312611499</v>
      </c>
      <c r="H37">
        <v>2.4326063486653098</v>
      </c>
      <c r="I37">
        <v>9456.3490882633796</v>
      </c>
      <c r="J37">
        <v>4.4420354688378998</v>
      </c>
      <c r="K37">
        <v>1100.3586910024001</v>
      </c>
      <c r="L37">
        <v>3.2807560235606998</v>
      </c>
      <c r="M37">
        <v>379.73722462438297</v>
      </c>
      <c r="N37">
        <v>2.5054288929841801</v>
      </c>
      <c r="O37">
        <v>61.128999999999998</v>
      </c>
      <c r="P37">
        <v>2.9592999999999998</v>
      </c>
      <c r="Q37">
        <v>0.116361894081099</v>
      </c>
      <c r="S37" s="2">
        <v>42520</v>
      </c>
      <c r="T37">
        <v>1</v>
      </c>
      <c r="U37" s="2">
        <v>44691</v>
      </c>
      <c r="V37" s="3">
        <v>5.9438740588637904</v>
      </c>
      <c r="W37">
        <f t="shared" si="1"/>
        <v>1.9561643835616438</v>
      </c>
      <c r="X37" t="s">
        <v>98</v>
      </c>
    </row>
    <row r="38" spans="2:24" x14ac:dyDescent="0.25">
      <c r="B38" s="1" t="s">
        <v>55</v>
      </c>
      <c r="C38" s="2">
        <v>42863</v>
      </c>
      <c r="D38">
        <v>1</v>
      </c>
      <c r="E38">
        <v>0.5</v>
      </c>
      <c r="F38">
        <v>30</v>
      </c>
      <c r="S38" s="2">
        <v>42520</v>
      </c>
      <c r="T38">
        <v>1</v>
      </c>
      <c r="U38" s="2">
        <v>44691</v>
      </c>
      <c r="V38" s="3">
        <v>5.9438740588637904</v>
      </c>
      <c r="W38">
        <f t="shared" si="1"/>
        <v>0.9397260273972603</v>
      </c>
      <c r="X38" t="s">
        <v>97</v>
      </c>
    </row>
    <row r="39" spans="2:24" x14ac:dyDescent="0.25">
      <c r="B39" s="1" t="s">
        <v>55</v>
      </c>
      <c r="C39" s="2">
        <v>43614</v>
      </c>
      <c r="D39">
        <v>1.5</v>
      </c>
      <c r="E39">
        <v>0.5</v>
      </c>
      <c r="F39">
        <v>27</v>
      </c>
      <c r="S39" s="2">
        <v>42520</v>
      </c>
      <c r="T39">
        <v>1</v>
      </c>
      <c r="U39" s="2">
        <v>44691</v>
      </c>
      <c r="V39" s="3">
        <v>5.9438740588637904</v>
      </c>
      <c r="W39">
        <f t="shared" si="1"/>
        <v>2.9972602739726026</v>
      </c>
      <c r="X39" t="s">
        <v>99</v>
      </c>
    </row>
    <row r="40" spans="2:24" x14ac:dyDescent="0.25">
      <c r="B40" s="1" t="s">
        <v>55</v>
      </c>
      <c r="C40" s="2">
        <v>44343</v>
      </c>
      <c r="D40">
        <v>3</v>
      </c>
      <c r="E40">
        <v>0.5</v>
      </c>
      <c r="F40">
        <v>27</v>
      </c>
      <c r="S40" s="2">
        <v>42520</v>
      </c>
      <c r="T40">
        <v>1</v>
      </c>
      <c r="U40" s="2">
        <v>44691</v>
      </c>
      <c r="V40" s="3">
        <v>5.9438740588637904</v>
      </c>
      <c r="W40">
        <f t="shared" si="1"/>
        <v>4.9945205479452053</v>
      </c>
      <c r="X40" t="s">
        <v>101</v>
      </c>
    </row>
    <row r="41" spans="2:24" x14ac:dyDescent="0.25">
      <c r="B41" s="1" t="s">
        <v>56</v>
      </c>
      <c r="C41" s="2">
        <v>42690</v>
      </c>
      <c r="D41">
        <v>2.5</v>
      </c>
      <c r="E41">
        <v>0.5</v>
      </c>
      <c r="F41">
        <v>28</v>
      </c>
      <c r="G41">
        <v>3762.28159869715</v>
      </c>
      <c r="H41">
        <v>2.5992343430154499</v>
      </c>
      <c r="I41">
        <v>10488.6722342432</v>
      </c>
      <c r="J41">
        <v>0.95981277703284196</v>
      </c>
      <c r="K41" s="1">
        <v>1179.8413817262399</v>
      </c>
      <c r="L41" s="2">
        <v>0.69232325273585404</v>
      </c>
      <c r="M41">
        <v>368.24576843788401</v>
      </c>
      <c r="N41">
        <v>1.7283912202313201</v>
      </c>
      <c r="O41">
        <v>67.331999999999994</v>
      </c>
      <c r="P41">
        <v>2.3523000000000001</v>
      </c>
      <c r="Q41">
        <v>0.112487200989494</v>
      </c>
      <c r="R41">
        <v>17.52274374333512</v>
      </c>
      <c r="S41" s="2">
        <v>41948</v>
      </c>
      <c r="T41">
        <v>1</v>
      </c>
      <c r="U41" s="2">
        <v>44593</v>
      </c>
      <c r="V41" s="3">
        <v>7.2416153319644101</v>
      </c>
      <c r="W41">
        <f t="shared" si="1"/>
        <v>2.032876712328767</v>
      </c>
      <c r="X41" t="s">
        <v>98</v>
      </c>
    </row>
    <row r="42" spans="2:24" x14ac:dyDescent="0.25">
      <c r="B42" s="1" t="s">
        <v>56</v>
      </c>
      <c r="C42" s="2">
        <v>42340</v>
      </c>
      <c r="D42">
        <v>1.5</v>
      </c>
      <c r="E42">
        <v>0.5</v>
      </c>
      <c r="F42">
        <v>26</v>
      </c>
      <c r="K42" s="1" t="s">
        <v>121</v>
      </c>
      <c r="L42" s="2"/>
      <c r="S42" s="2">
        <v>41948</v>
      </c>
      <c r="T42">
        <v>1</v>
      </c>
      <c r="U42" s="2">
        <v>44593</v>
      </c>
      <c r="V42" s="3">
        <v>7.2416153319644101</v>
      </c>
      <c r="W42">
        <f t="shared" si="1"/>
        <v>1.0739726027397261</v>
      </c>
      <c r="X42" t="s">
        <v>97</v>
      </c>
    </row>
    <row r="43" spans="2:24" x14ac:dyDescent="0.25">
      <c r="B43" s="1" t="s">
        <v>56</v>
      </c>
      <c r="C43" s="2">
        <v>42997</v>
      </c>
      <c r="D43">
        <v>2.5</v>
      </c>
      <c r="E43">
        <v>0.5</v>
      </c>
      <c r="F43">
        <v>29</v>
      </c>
      <c r="K43" s="1" t="s">
        <v>121</v>
      </c>
      <c r="L43" s="2"/>
      <c r="S43" s="2">
        <v>41948</v>
      </c>
      <c r="T43">
        <v>1</v>
      </c>
      <c r="U43" s="2">
        <v>44593</v>
      </c>
      <c r="V43" s="3">
        <v>7.2416153319644101</v>
      </c>
      <c r="W43">
        <f t="shared" si="1"/>
        <v>2.8739726027397259</v>
      </c>
      <c r="X43" t="s">
        <v>99</v>
      </c>
    </row>
    <row r="44" spans="2:24" x14ac:dyDescent="0.25">
      <c r="B44" s="1" t="s">
        <v>56</v>
      </c>
      <c r="C44" s="2">
        <v>43439</v>
      </c>
      <c r="D44">
        <v>2</v>
      </c>
      <c r="E44">
        <v>0.5</v>
      </c>
      <c r="F44">
        <v>28</v>
      </c>
      <c r="K44" s="1" t="s">
        <v>121</v>
      </c>
      <c r="L44" s="2"/>
      <c r="S44" s="2">
        <v>41948</v>
      </c>
      <c r="T44">
        <v>1</v>
      </c>
      <c r="U44" s="2">
        <v>44593</v>
      </c>
      <c r="V44" s="3">
        <v>7.2416153319644101</v>
      </c>
      <c r="W44">
        <f t="shared" si="1"/>
        <v>4.0849315068493155</v>
      </c>
      <c r="X44" t="s">
        <v>100</v>
      </c>
    </row>
    <row r="45" spans="2:24" x14ac:dyDescent="0.25">
      <c r="B45" s="1" t="s">
        <v>56</v>
      </c>
      <c r="C45" s="2">
        <v>43795</v>
      </c>
      <c r="D45">
        <v>4</v>
      </c>
      <c r="E45">
        <v>0.5</v>
      </c>
      <c r="F45">
        <v>26</v>
      </c>
      <c r="K45" s="1" t="s">
        <v>121</v>
      </c>
      <c r="L45" s="2"/>
      <c r="S45" s="2">
        <v>41948</v>
      </c>
      <c r="T45">
        <v>1</v>
      </c>
      <c r="U45" s="2">
        <v>44593</v>
      </c>
      <c r="V45" s="3">
        <v>7.2416153319644101</v>
      </c>
      <c r="W45">
        <f t="shared" si="1"/>
        <v>5.0602739726027401</v>
      </c>
      <c r="X45" t="s">
        <v>101</v>
      </c>
    </row>
    <row r="46" spans="2:24" x14ac:dyDescent="0.25">
      <c r="B46" s="1" t="s">
        <v>57</v>
      </c>
      <c r="C46" s="2">
        <v>42921</v>
      </c>
      <c r="D46">
        <v>6</v>
      </c>
      <c r="E46">
        <v>1</v>
      </c>
      <c r="F46">
        <v>26</v>
      </c>
      <c r="K46" s="1" t="s">
        <v>121</v>
      </c>
      <c r="L46" s="2"/>
      <c r="S46" s="2">
        <v>42585</v>
      </c>
      <c r="T46">
        <v>1</v>
      </c>
      <c r="U46" s="2">
        <v>43370</v>
      </c>
      <c r="V46" s="3">
        <v>2.1492128678986999</v>
      </c>
      <c r="W46">
        <f t="shared" si="1"/>
        <v>0.92054794520547945</v>
      </c>
      <c r="X46" t="s">
        <v>97</v>
      </c>
    </row>
    <row r="47" spans="2:24" x14ac:dyDescent="0.25">
      <c r="B47" s="1" t="s">
        <v>58</v>
      </c>
      <c r="C47" s="2">
        <v>43787</v>
      </c>
      <c r="D47">
        <v>3.5</v>
      </c>
      <c r="E47">
        <v>0.5</v>
      </c>
      <c r="F47">
        <v>23</v>
      </c>
      <c r="K47" s="1" t="s">
        <v>121</v>
      </c>
      <c r="L47" s="2"/>
      <c r="S47" s="2">
        <v>43124</v>
      </c>
      <c r="T47">
        <v>1</v>
      </c>
      <c r="U47" s="2">
        <v>44509</v>
      </c>
      <c r="V47" s="3">
        <v>3.7919233401779602</v>
      </c>
      <c r="W47">
        <f t="shared" si="1"/>
        <v>1.8164383561643835</v>
      </c>
      <c r="X47" t="s">
        <v>98</v>
      </c>
    </row>
    <row r="48" spans="2:24" x14ac:dyDescent="0.25">
      <c r="B48" s="1" t="s">
        <v>59</v>
      </c>
      <c r="C48" s="2">
        <v>43788</v>
      </c>
      <c r="D48">
        <v>0</v>
      </c>
      <c r="E48">
        <v>0</v>
      </c>
      <c r="F48">
        <v>30</v>
      </c>
      <c r="S48" s="2">
        <v>43222</v>
      </c>
      <c r="T48">
        <v>1</v>
      </c>
      <c r="U48" s="2">
        <v>45015</v>
      </c>
      <c r="V48" s="3">
        <v>4.9089664613278599</v>
      </c>
      <c r="W48">
        <f t="shared" si="1"/>
        <v>1.5506849315068494</v>
      </c>
      <c r="X48" t="s">
        <v>98</v>
      </c>
    </row>
    <row r="49" spans="2:24" x14ac:dyDescent="0.25">
      <c r="B49" s="1" t="s">
        <v>59</v>
      </c>
      <c r="C49" s="2">
        <v>44504</v>
      </c>
      <c r="D49">
        <v>3.5</v>
      </c>
      <c r="E49">
        <v>0.5</v>
      </c>
      <c r="F49">
        <v>28</v>
      </c>
      <c r="S49" s="2">
        <v>43222</v>
      </c>
      <c r="T49">
        <v>1</v>
      </c>
      <c r="U49" s="2">
        <v>45015</v>
      </c>
      <c r="V49" s="3">
        <v>4.9089664613278599</v>
      </c>
      <c r="W49">
        <f t="shared" si="1"/>
        <v>3.5123287671232877</v>
      </c>
      <c r="X49" t="s">
        <v>100</v>
      </c>
    </row>
    <row r="50" spans="2:24" x14ac:dyDescent="0.25">
      <c r="B50" s="1" t="s">
        <v>60</v>
      </c>
      <c r="C50" s="2">
        <v>43327</v>
      </c>
      <c r="D50">
        <v>3</v>
      </c>
      <c r="E50">
        <v>0.5</v>
      </c>
      <c r="F50">
        <v>28</v>
      </c>
      <c r="G50">
        <v>2686.1304989784098</v>
      </c>
      <c r="H50">
        <v>1.79317754861125</v>
      </c>
      <c r="I50">
        <v>7901.24721430108</v>
      </c>
      <c r="J50">
        <v>1.6456178267083701</v>
      </c>
      <c r="K50" s="9">
        <v>426.06991537678499</v>
      </c>
      <c r="L50" s="2">
        <v>2.4876598416326199</v>
      </c>
      <c r="M50">
        <v>382.39168177842703</v>
      </c>
      <c r="N50">
        <v>5.2401132511830903</v>
      </c>
      <c r="O50">
        <v>62.271000000000001</v>
      </c>
      <c r="Q50" s="4">
        <v>5.3924387355657979E-2</v>
      </c>
      <c r="R50" s="4">
        <v>6.8421884244156184</v>
      </c>
      <c r="S50" s="2">
        <v>42597</v>
      </c>
      <c r="T50">
        <v>1</v>
      </c>
      <c r="U50" s="2">
        <v>43683</v>
      </c>
      <c r="V50" s="3">
        <v>2.9733059548254599</v>
      </c>
      <c r="W50">
        <f t="shared" si="1"/>
        <v>2</v>
      </c>
      <c r="X50" t="s">
        <v>98</v>
      </c>
    </row>
    <row r="51" spans="2:24" x14ac:dyDescent="0.25">
      <c r="B51" s="1" t="s">
        <v>60</v>
      </c>
      <c r="C51" s="2">
        <v>42973</v>
      </c>
      <c r="D51">
        <v>3</v>
      </c>
      <c r="E51">
        <v>0.5</v>
      </c>
      <c r="F51">
        <v>28</v>
      </c>
      <c r="K51" s="1" t="s">
        <v>121</v>
      </c>
      <c r="L51" s="2"/>
      <c r="S51" s="2">
        <v>42597</v>
      </c>
      <c r="T51">
        <v>1</v>
      </c>
      <c r="U51" s="2">
        <v>43683</v>
      </c>
      <c r="V51" s="3">
        <v>2.9733059548254599</v>
      </c>
      <c r="W51">
        <f t="shared" si="1"/>
        <v>1.0301369863013699</v>
      </c>
      <c r="X51" t="s">
        <v>97</v>
      </c>
    </row>
    <row r="52" spans="2:24" x14ac:dyDescent="0.25">
      <c r="B52" s="1" t="s">
        <v>61</v>
      </c>
      <c r="C52" s="2">
        <v>42374</v>
      </c>
      <c r="D52">
        <v>0.5</v>
      </c>
      <c r="E52">
        <v>0.5</v>
      </c>
      <c r="F52">
        <v>28</v>
      </c>
      <c r="S52" s="2">
        <v>42012</v>
      </c>
      <c r="T52">
        <v>1</v>
      </c>
      <c r="U52" s="2">
        <v>43784</v>
      </c>
      <c r="V52" s="3">
        <v>4.8514715947980802</v>
      </c>
      <c r="W52">
        <f t="shared" si="1"/>
        <v>0.99178082191780825</v>
      </c>
      <c r="X52" t="s">
        <v>97</v>
      </c>
    </row>
    <row r="53" spans="2:24" x14ac:dyDescent="0.25">
      <c r="B53" s="1" t="s">
        <v>61</v>
      </c>
      <c r="C53" s="2">
        <v>42773</v>
      </c>
      <c r="D53">
        <v>1.5</v>
      </c>
      <c r="E53">
        <v>0.5</v>
      </c>
      <c r="F53">
        <v>26</v>
      </c>
      <c r="S53" s="2">
        <v>42012</v>
      </c>
      <c r="T53">
        <v>1</v>
      </c>
      <c r="U53" s="2">
        <v>43784</v>
      </c>
      <c r="V53" s="3">
        <v>4.8514715947980802</v>
      </c>
      <c r="W53">
        <f t="shared" si="1"/>
        <v>2.0849315068493151</v>
      </c>
      <c r="X53" t="s">
        <v>98</v>
      </c>
    </row>
    <row r="54" spans="2:24" x14ac:dyDescent="0.25">
      <c r="B54" s="1" t="s">
        <v>62</v>
      </c>
      <c r="C54" s="2">
        <v>42905</v>
      </c>
      <c r="D54" t="s">
        <v>32</v>
      </c>
      <c r="E54" t="s">
        <v>32</v>
      </c>
      <c r="F54">
        <v>29</v>
      </c>
      <c r="K54" s="1" t="s">
        <v>121</v>
      </c>
      <c r="L54" s="2"/>
      <c r="S54" s="2">
        <v>42536</v>
      </c>
      <c r="T54">
        <v>1</v>
      </c>
      <c r="U54" s="2">
        <v>43276</v>
      </c>
      <c r="V54" s="3">
        <v>2.02600958247776</v>
      </c>
      <c r="W54">
        <f t="shared" si="1"/>
        <v>1.010958904109589</v>
      </c>
      <c r="X54" t="s">
        <v>97</v>
      </c>
    </row>
    <row r="55" spans="2:24" x14ac:dyDescent="0.25">
      <c r="B55" s="1" t="s">
        <v>64</v>
      </c>
      <c r="C55" s="2">
        <v>43888</v>
      </c>
      <c r="D55">
        <v>0.5</v>
      </c>
      <c r="E55">
        <v>0.5</v>
      </c>
      <c r="F55">
        <v>28</v>
      </c>
      <c r="G55">
        <v>3261.4818239296001</v>
      </c>
      <c r="H55">
        <v>1.0211901366760801</v>
      </c>
      <c r="I55">
        <v>9197.5118879690999</v>
      </c>
      <c r="J55">
        <v>0.67629643033037301</v>
      </c>
      <c r="K55">
        <v>970.59905159596894</v>
      </c>
      <c r="L55">
        <v>0.27560955671745502</v>
      </c>
      <c r="M55">
        <v>400.53141911073698</v>
      </c>
      <c r="N55">
        <v>0.931049360031734</v>
      </c>
      <c r="O55">
        <v>57.561</v>
      </c>
      <c r="P55">
        <v>5.6597000000000001E-2</v>
      </c>
      <c r="Q55">
        <v>0.1055284367575073</v>
      </c>
      <c r="R55">
        <v>16.862095022601569</v>
      </c>
      <c r="S55" s="2">
        <v>42450</v>
      </c>
      <c r="T55">
        <v>1</v>
      </c>
      <c r="U55" s="2">
        <v>44662</v>
      </c>
      <c r="V55" s="3">
        <v>6.0561259411362096</v>
      </c>
      <c r="W55">
        <f t="shared" si="1"/>
        <v>3.9397260273972603</v>
      </c>
      <c r="X55" t="s">
        <v>100</v>
      </c>
    </row>
    <row r="56" spans="2:24" x14ac:dyDescent="0.25">
      <c r="B56" s="1" t="s">
        <v>64</v>
      </c>
      <c r="C56" s="2">
        <v>42786</v>
      </c>
      <c r="D56">
        <v>1</v>
      </c>
      <c r="E56">
        <v>0.5</v>
      </c>
      <c r="F56">
        <v>30</v>
      </c>
      <c r="S56" s="2">
        <v>42450</v>
      </c>
      <c r="T56">
        <v>1</v>
      </c>
      <c r="U56" s="2">
        <v>44662</v>
      </c>
      <c r="V56" s="3">
        <v>6.0561259411362096</v>
      </c>
      <c r="W56">
        <f t="shared" si="1"/>
        <v>0.92054794520547945</v>
      </c>
      <c r="X56" t="s">
        <v>97</v>
      </c>
    </row>
    <row r="57" spans="2:24" x14ac:dyDescent="0.25">
      <c r="B57" s="1" t="s">
        <v>64</v>
      </c>
      <c r="C57" s="2">
        <v>43143</v>
      </c>
      <c r="D57">
        <v>2</v>
      </c>
      <c r="E57">
        <v>0.5</v>
      </c>
      <c r="F57">
        <v>28</v>
      </c>
      <c r="S57" s="2">
        <v>42450</v>
      </c>
      <c r="T57">
        <v>1</v>
      </c>
      <c r="U57" s="2">
        <v>44662</v>
      </c>
      <c r="V57" s="3">
        <v>6.0561259411362096</v>
      </c>
      <c r="W57">
        <f t="shared" si="1"/>
        <v>1.8986301369863015</v>
      </c>
      <c r="X57" t="s">
        <v>98</v>
      </c>
    </row>
    <row r="58" spans="2:24" x14ac:dyDescent="0.25">
      <c r="B58" s="1" t="s">
        <v>64</v>
      </c>
      <c r="C58" s="2">
        <v>43536</v>
      </c>
      <c r="D58">
        <v>2</v>
      </c>
      <c r="E58">
        <v>0.5</v>
      </c>
      <c r="F58">
        <v>30</v>
      </c>
      <c r="S58" s="2">
        <v>42450</v>
      </c>
      <c r="T58">
        <v>1</v>
      </c>
      <c r="U58" s="2">
        <v>44662</v>
      </c>
      <c r="V58" s="3">
        <v>6.0561259411362096</v>
      </c>
      <c r="W58">
        <f t="shared" si="1"/>
        <v>2.9753424657534246</v>
      </c>
      <c r="X58" t="s">
        <v>99</v>
      </c>
    </row>
    <row r="59" spans="2:24" x14ac:dyDescent="0.25">
      <c r="B59" s="1" t="s">
        <v>65</v>
      </c>
      <c r="C59" s="2">
        <v>42466</v>
      </c>
      <c r="D59">
        <v>2.5</v>
      </c>
      <c r="E59">
        <v>0.5</v>
      </c>
      <c r="F59">
        <v>26</v>
      </c>
      <c r="S59" s="2">
        <v>42067</v>
      </c>
      <c r="T59">
        <v>1</v>
      </c>
      <c r="U59" s="2">
        <v>42817</v>
      </c>
      <c r="V59" s="3">
        <v>2.0533880903490802</v>
      </c>
      <c r="W59">
        <f t="shared" si="1"/>
        <v>1.0931506849315069</v>
      </c>
      <c r="X59" t="s">
        <v>97</v>
      </c>
    </row>
    <row r="60" spans="2:24" x14ac:dyDescent="0.25">
      <c r="B60" s="1" t="s">
        <v>66</v>
      </c>
      <c r="C60" s="2">
        <v>42527</v>
      </c>
      <c r="D60">
        <v>1.5</v>
      </c>
      <c r="E60">
        <v>0.5</v>
      </c>
      <c r="F60">
        <v>29</v>
      </c>
      <c r="S60" s="2">
        <v>42150</v>
      </c>
      <c r="T60">
        <v>1</v>
      </c>
      <c r="U60" s="2">
        <v>43607</v>
      </c>
      <c r="V60" s="3">
        <v>3.98904859685147</v>
      </c>
      <c r="W60">
        <f t="shared" si="1"/>
        <v>1.0328767123287672</v>
      </c>
      <c r="X60" t="s">
        <v>97</v>
      </c>
    </row>
    <row r="61" spans="2:24" x14ac:dyDescent="0.25">
      <c r="B61" s="1" t="s">
        <v>66</v>
      </c>
      <c r="C61" s="2">
        <v>42884</v>
      </c>
      <c r="D61">
        <v>2</v>
      </c>
      <c r="E61">
        <v>0.5</v>
      </c>
      <c r="F61">
        <v>30</v>
      </c>
      <c r="S61" s="2">
        <v>42150</v>
      </c>
      <c r="T61">
        <v>1</v>
      </c>
      <c r="U61" s="2">
        <v>43607</v>
      </c>
      <c r="V61" s="3">
        <v>3.98904859685147</v>
      </c>
      <c r="W61">
        <f t="shared" si="1"/>
        <v>2.010958904109589</v>
      </c>
      <c r="X61" t="s">
        <v>98</v>
      </c>
    </row>
    <row r="62" spans="2:24" x14ac:dyDescent="0.25">
      <c r="B62" s="1" t="s">
        <v>66</v>
      </c>
      <c r="C62" s="2">
        <v>43243</v>
      </c>
      <c r="D62">
        <v>0</v>
      </c>
      <c r="E62">
        <v>0</v>
      </c>
      <c r="F62">
        <v>30</v>
      </c>
      <c r="S62" s="2">
        <v>42150</v>
      </c>
      <c r="T62">
        <v>1</v>
      </c>
      <c r="U62" s="2">
        <v>43607</v>
      </c>
      <c r="V62" s="3">
        <v>3.98904859685147</v>
      </c>
      <c r="W62">
        <f t="shared" si="1"/>
        <v>2.9945205479452053</v>
      </c>
      <c r="X62" t="s">
        <v>99</v>
      </c>
    </row>
    <row r="63" spans="2:24" x14ac:dyDescent="0.25">
      <c r="B63" s="1" t="s">
        <v>68</v>
      </c>
      <c r="C63" s="2">
        <v>43514</v>
      </c>
      <c r="D63">
        <v>3</v>
      </c>
      <c r="E63">
        <v>0.5</v>
      </c>
      <c r="F63">
        <v>28</v>
      </c>
      <c r="S63" s="2">
        <v>43139</v>
      </c>
      <c r="T63">
        <v>1</v>
      </c>
      <c r="U63" s="2">
        <v>43864</v>
      </c>
      <c r="V63" s="3">
        <v>1.9849418206707701</v>
      </c>
      <c r="W63">
        <f t="shared" si="1"/>
        <v>1.0273972602739727</v>
      </c>
      <c r="X63" t="s">
        <v>97</v>
      </c>
    </row>
    <row r="64" spans="2:24" x14ac:dyDescent="0.25">
      <c r="B64" s="1" t="s">
        <v>69</v>
      </c>
      <c r="C64" s="2">
        <v>42822</v>
      </c>
      <c r="D64">
        <v>2.5</v>
      </c>
      <c r="E64">
        <v>0.5</v>
      </c>
      <c r="F64">
        <v>26</v>
      </c>
      <c r="S64" s="2">
        <v>42451</v>
      </c>
      <c r="T64">
        <v>1</v>
      </c>
      <c r="U64" s="2">
        <v>44705</v>
      </c>
      <c r="V64" s="3">
        <v>6.17111567419576</v>
      </c>
      <c r="W64">
        <f t="shared" si="1"/>
        <v>1.0164383561643835</v>
      </c>
      <c r="X64" t="s">
        <v>97</v>
      </c>
    </row>
    <row r="65" spans="2:24" x14ac:dyDescent="0.25">
      <c r="B65" s="1" t="s">
        <v>70</v>
      </c>
      <c r="C65" s="2">
        <v>42699</v>
      </c>
      <c r="D65">
        <v>3</v>
      </c>
      <c r="E65">
        <v>0.5</v>
      </c>
      <c r="F65">
        <v>27</v>
      </c>
      <c r="K65" s="1" t="s">
        <v>121</v>
      </c>
      <c r="L65" s="2"/>
      <c r="S65" s="2">
        <v>42298</v>
      </c>
      <c r="T65">
        <v>1</v>
      </c>
      <c r="U65" s="2">
        <v>43724</v>
      </c>
      <c r="V65" s="3">
        <v>3.9041752224503798</v>
      </c>
      <c r="W65">
        <f t="shared" si="1"/>
        <v>1.0986301369863014</v>
      </c>
      <c r="X65" t="s">
        <v>97</v>
      </c>
    </row>
    <row r="66" spans="2:24" x14ac:dyDescent="0.25">
      <c r="B66" s="1" t="s">
        <v>70</v>
      </c>
      <c r="C66" s="2">
        <v>43006</v>
      </c>
      <c r="D66">
        <v>2.5</v>
      </c>
      <c r="E66">
        <v>0.5</v>
      </c>
      <c r="F66">
        <v>26</v>
      </c>
      <c r="K66" s="1" t="s">
        <v>121</v>
      </c>
      <c r="L66" s="2"/>
      <c r="S66" s="2">
        <v>42298</v>
      </c>
      <c r="T66">
        <v>1</v>
      </c>
      <c r="U66" s="2">
        <v>43724</v>
      </c>
      <c r="V66" s="3">
        <v>3.9041752224503798</v>
      </c>
      <c r="W66">
        <f t="shared" ref="W66:W84" si="2">(C66-S66)/365</f>
        <v>1.9397260273972603</v>
      </c>
      <c r="X66" t="s">
        <v>98</v>
      </c>
    </row>
    <row r="67" spans="2:24" x14ac:dyDescent="0.25">
      <c r="B67" s="1" t="s">
        <v>70</v>
      </c>
      <c r="C67" s="2">
        <v>43411</v>
      </c>
      <c r="D67">
        <v>2.5</v>
      </c>
      <c r="E67">
        <v>0.5</v>
      </c>
      <c r="F67">
        <v>25</v>
      </c>
      <c r="K67" s="1" t="s">
        <v>121</v>
      </c>
      <c r="L67" s="2"/>
      <c r="S67" s="2">
        <v>42298</v>
      </c>
      <c r="T67">
        <v>1</v>
      </c>
      <c r="U67" s="2">
        <v>43724</v>
      </c>
      <c r="V67" s="3">
        <v>3.9041752224503798</v>
      </c>
      <c r="W67">
        <f t="shared" si="2"/>
        <v>3.0493150684931507</v>
      </c>
      <c r="X67" t="s">
        <v>99</v>
      </c>
    </row>
    <row r="68" spans="2:24" x14ac:dyDescent="0.25">
      <c r="B68" s="1" t="s">
        <v>71</v>
      </c>
      <c r="C68" s="2">
        <v>42908</v>
      </c>
      <c r="D68">
        <v>0.5</v>
      </c>
      <c r="E68">
        <v>0.5</v>
      </c>
      <c r="F68">
        <v>27</v>
      </c>
      <c r="S68" s="2">
        <v>42530</v>
      </c>
      <c r="T68">
        <v>1</v>
      </c>
      <c r="U68" s="2">
        <v>44386</v>
      </c>
      <c r="V68" s="3">
        <v>5.0814510609171801</v>
      </c>
      <c r="W68">
        <f t="shared" si="2"/>
        <v>1.0356164383561643</v>
      </c>
      <c r="X68" t="s">
        <v>97</v>
      </c>
    </row>
    <row r="69" spans="2:24" x14ac:dyDescent="0.25">
      <c r="B69" s="1" t="s">
        <v>71</v>
      </c>
      <c r="C69" s="2">
        <v>43286</v>
      </c>
      <c r="D69">
        <v>0.5</v>
      </c>
      <c r="E69">
        <v>0.5</v>
      </c>
      <c r="F69">
        <v>25</v>
      </c>
      <c r="S69" s="2">
        <v>42530</v>
      </c>
      <c r="T69">
        <v>1</v>
      </c>
      <c r="U69" s="2">
        <v>44386</v>
      </c>
      <c r="V69" s="3">
        <v>5.0814510609171801</v>
      </c>
      <c r="W69">
        <f t="shared" si="2"/>
        <v>2.0712328767123287</v>
      </c>
      <c r="X69" t="s">
        <v>98</v>
      </c>
    </row>
    <row r="70" spans="2:24" x14ac:dyDescent="0.25">
      <c r="B70" s="1" t="s">
        <v>71</v>
      </c>
      <c r="C70" s="2">
        <v>43704</v>
      </c>
      <c r="D70">
        <v>2.5</v>
      </c>
      <c r="E70">
        <v>0.5</v>
      </c>
      <c r="F70">
        <v>24</v>
      </c>
      <c r="S70" s="2">
        <v>42530</v>
      </c>
      <c r="T70">
        <v>1</v>
      </c>
      <c r="U70" s="2">
        <v>44386</v>
      </c>
      <c r="V70" s="3">
        <v>5.0814510609171801</v>
      </c>
      <c r="W70">
        <f t="shared" si="2"/>
        <v>3.2164383561643834</v>
      </c>
      <c r="X70" t="s">
        <v>99</v>
      </c>
    </row>
    <row r="71" spans="2:24" x14ac:dyDescent="0.25">
      <c r="B71" s="1" t="s">
        <v>71</v>
      </c>
      <c r="C71" s="2">
        <v>44102</v>
      </c>
      <c r="D71">
        <v>2</v>
      </c>
      <c r="E71">
        <v>0.5</v>
      </c>
      <c r="F71">
        <v>22</v>
      </c>
      <c r="S71" s="2">
        <v>42530</v>
      </c>
      <c r="T71">
        <v>1</v>
      </c>
      <c r="U71" s="2">
        <v>44386</v>
      </c>
      <c r="V71" s="3">
        <v>5.0814510609171801</v>
      </c>
      <c r="W71">
        <f t="shared" si="2"/>
        <v>4.3068493150684928</v>
      </c>
      <c r="X71" t="s">
        <v>100</v>
      </c>
    </row>
    <row r="72" spans="2:24" x14ac:dyDescent="0.25">
      <c r="B72" s="1" t="s">
        <v>72</v>
      </c>
      <c r="C72" s="2">
        <v>42234</v>
      </c>
      <c r="D72">
        <v>1</v>
      </c>
      <c r="E72">
        <v>0.5</v>
      </c>
      <c r="F72">
        <v>30</v>
      </c>
      <c r="S72" s="2">
        <v>41884</v>
      </c>
      <c r="T72">
        <v>1</v>
      </c>
      <c r="U72" s="2">
        <v>44459</v>
      </c>
      <c r="V72" s="3">
        <v>7.04996577686516</v>
      </c>
      <c r="W72">
        <f t="shared" si="2"/>
        <v>0.95890410958904104</v>
      </c>
      <c r="X72" t="s">
        <v>97</v>
      </c>
    </row>
    <row r="73" spans="2:24" x14ac:dyDescent="0.25">
      <c r="B73" s="1" t="s">
        <v>72</v>
      </c>
      <c r="C73" s="2">
        <v>42635</v>
      </c>
      <c r="D73">
        <v>1.5</v>
      </c>
      <c r="E73">
        <v>0.5</v>
      </c>
      <c r="F73">
        <v>29</v>
      </c>
      <c r="S73" s="2">
        <v>41884</v>
      </c>
      <c r="T73">
        <v>1</v>
      </c>
      <c r="U73" s="2">
        <v>44459</v>
      </c>
      <c r="V73" s="3">
        <v>7.04996577686516</v>
      </c>
      <c r="W73">
        <f t="shared" si="2"/>
        <v>2.0575342465753423</v>
      </c>
      <c r="X73" t="s">
        <v>98</v>
      </c>
    </row>
    <row r="74" spans="2:24" x14ac:dyDescent="0.25">
      <c r="B74" s="1" t="s">
        <v>72</v>
      </c>
      <c r="C74" s="2">
        <v>43717</v>
      </c>
      <c r="D74">
        <v>1.5</v>
      </c>
      <c r="E74">
        <v>0.5</v>
      </c>
      <c r="F74">
        <v>28</v>
      </c>
      <c r="S74" s="2">
        <v>41884</v>
      </c>
      <c r="T74">
        <v>1</v>
      </c>
      <c r="U74" s="2">
        <v>44459</v>
      </c>
      <c r="V74" s="3">
        <v>7.04996577686516</v>
      </c>
      <c r="W74">
        <f t="shared" si="2"/>
        <v>5.021917808219178</v>
      </c>
      <c r="X74" t="s">
        <v>101</v>
      </c>
    </row>
    <row r="75" spans="2:24" x14ac:dyDescent="0.25">
      <c r="B75" s="1" t="s">
        <v>72</v>
      </c>
      <c r="C75" s="2">
        <v>44284</v>
      </c>
      <c r="D75">
        <v>5</v>
      </c>
      <c r="E75">
        <v>1</v>
      </c>
      <c r="S75" s="2">
        <v>41884</v>
      </c>
      <c r="T75">
        <v>1</v>
      </c>
      <c r="U75" s="2">
        <v>44459</v>
      </c>
      <c r="V75" s="3">
        <v>7.04996577686516</v>
      </c>
      <c r="W75">
        <f t="shared" si="2"/>
        <v>6.5753424657534243</v>
      </c>
      <c r="X75" t="s">
        <v>101</v>
      </c>
    </row>
    <row r="76" spans="2:24" x14ac:dyDescent="0.25">
      <c r="B76" s="1" t="s">
        <v>73</v>
      </c>
      <c r="C76" s="2">
        <v>42600</v>
      </c>
      <c r="D76">
        <v>1</v>
      </c>
      <c r="E76">
        <v>0.5</v>
      </c>
      <c r="F76">
        <v>25</v>
      </c>
      <c r="K76" s="1" t="s">
        <v>121</v>
      </c>
      <c r="L76" s="2"/>
      <c r="S76" s="2">
        <v>42191</v>
      </c>
      <c r="T76">
        <v>1</v>
      </c>
      <c r="U76" s="2">
        <v>43318</v>
      </c>
      <c r="V76" s="3">
        <v>3.08555783709788</v>
      </c>
      <c r="W76">
        <f t="shared" si="2"/>
        <v>1.1205479452054794</v>
      </c>
      <c r="X76" t="s">
        <v>97</v>
      </c>
    </row>
    <row r="77" spans="2:24" x14ac:dyDescent="0.25">
      <c r="B77" s="1" t="s">
        <v>73</v>
      </c>
      <c r="C77" s="2">
        <v>42943</v>
      </c>
      <c r="D77">
        <v>3.5</v>
      </c>
      <c r="E77">
        <v>0.5</v>
      </c>
      <c r="F77">
        <v>27</v>
      </c>
      <c r="K77" s="1" t="s">
        <v>121</v>
      </c>
      <c r="L77" s="2"/>
      <c r="S77" s="2">
        <v>42191</v>
      </c>
      <c r="T77">
        <v>1</v>
      </c>
      <c r="U77" s="2">
        <v>43318</v>
      </c>
      <c r="V77" s="3">
        <v>3.08555783709788</v>
      </c>
      <c r="W77">
        <f t="shared" si="2"/>
        <v>2.0602739726027397</v>
      </c>
      <c r="X77" t="s">
        <v>98</v>
      </c>
    </row>
    <row r="78" spans="2:24" x14ac:dyDescent="0.25">
      <c r="B78" s="1" t="s">
        <v>75</v>
      </c>
      <c r="C78" s="2">
        <v>43592</v>
      </c>
      <c r="D78">
        <v>4</v>
      </c>
      <c r="E78">
        <v>0.5</v>
      </c>
      <c r="F78">
        <v>24</v>
      </c>
      <c r="K78" s="1" t="s">
        <v>121</v>
      </c>
      <c r="L78" s="2"/>
      <c r="S78" s="2">
        <v>43109</v>
      </c>
      <c r="T78">
        <v>1</v>
      </c>
      <c r="U78" s="2">
        <v>44039</v>
      </c>
      <c r="V78" s="3">
        <v>2.5462012320328502</v>
      </c>
      <c r="W78">
        <f t="shared" si="2"/>
        <v>1.3232876712328767</v>
      </c>
      <c r="X78" t="s">
        <v>97</v>
      </c>
    </row>
    <row r="79" spans="2:24" x14ac:dyDescent="0.25">
      <c r="B79" s="1" t="s">
        <v>78</v>
      </c>
      <c r="C79" s="2">
        <v>42782</v>
      </c>
      <c r="D79" t="s">
        <v>32</v>
      </c>
      <c r="E79" t="s">
        <v>32</v>
      </c>
      <c r="F79">
        <v>29</v>
      </c>
      <c r="S79" s="2">
        <v>42403</v>
      </c>
      <c r="T79">
        <v>1</v>
      </c>
      <c r="U79" s="2">
        <v>44634</v>
      </c>
      <c r="V79" s="3">
        <v>6.1081451060917198</v>
      </c>
      <c r="W79">
        <f t="shared" si="2"/>
        <v>1.0383561643835617</v>
      </c>
      <c r="X79" t="s">
        <v>97</v>
      </c>
    </row>
    <row r="80" spans="2:24" x14ac:dyDescent="0.25">
      <c r="B80" s="1" t="s">
        <v>78</v>
      </c>
      <c r="C80" s="2">
        <v>43108</v>
      </c>
      <c r="D80">
        <v>1</v>
      </c>
      <c r="E80">
        <v>0.5</v>
      </c>
      <c r="F80">
        <v>26</v>
      </c>
      <c r="S80" s="2">
        <v>42403</v>
      </c>
      <c r="T80">
        <v>1</v>
      </c>
      <c r="U80" s="2">
        <v>44634</v>
      </c>
      <c r="V80" s="3">
        <v>6.1081451060917198</v>
      </c>
      <c r="W80">
        <f t="shared" si="2"/>
        <v>1.9315068493150684</v>
      </c>
      <c r="X80" t="s">
        <v>98</v>
      </c>
    </row>
    <row r="81" spans="2:24" x14ac:dyDescent="0.25">
      <c r="B81" s="1" t="s">
        <v>78</v>
      </c>
      <c r="C81" s="2">
        <v>43486</v>
      </c>
      <c r="D81">
        <v>1</v>
      </c>
      <c r="E81">
        <v>0.5</v>
      </c>
      <c r="F81">
        <v>25</v>
      </c>
      <c r="S81" s="2">
        <v>42403</v>
      </c>
      <c r="T81">
        <v>1</v>
      </c>
      <c r="U81" s="2">
        <v>44634</v>
      </c>
      <c r="V81" s="3">
        <v>6.1081451060917198</v>
      </c>
      <c r="W81">
        <f t="shared" si="2"/>
        <v>2.967123287671233</v>
      </c>
      <c r="X81" t="s">
        <v>99</v>
      </c>
    </row>
    <row r="82" spans="2:24" x14ac:dyDescent="0.25">
      <c r="B82" s="1" t="s">
        <v>80</v>
      </c>
      <c r="C82" s="2">
        <v>42655</v>
      </c>
      <c r="D82">
        <v>3.5</v>
      </c>
      <c r="E82">
        <v>0.5</v>
      </c>
      <c r="F82">
        <v>26</v>
      </c>
      <c r="G82">
        <v>4490.3185631231499</v>
      </c>
      <c r="H82">
        <v>0.293954710644655</v>
      </c>
      <c r="I82">
        <v>10832.8937689543</v>
      </c>
      <c r="J82">
        <v>6.0887230616365402</v>
      </c>
      <c r="K82" s="4">
        <v>460.26411778388598</v>
      </c>
      <c r="L82">
        <v>3.3705889201963899</v>
      </c>
      <c r="M82" s="4">
        <v>548.28873239999996</v>
      </c>
      <c r="N82">
        <v>2.3278345069999999</v>
      </c>
      <c r="O82" s="4">
        <v>100.51</v>
      </c>
      <c r="P82">
        <v>1.0350999999999999</v>
      </c>
      <c r="Q82" s="4">
        <v>4.2487642508130613E-2</v>
      </c>
      <c r="R82" s="4">
        <v>4.5792868150819412</v>
      </c>
      <c r="S82" s="2">
        <v>41921</v>
      </c>
      <c r="T82">
        <v>1</v>
      </c>
      <c r="U82" s="2">
        <v>43388</v>
      </c>
      <c r="V82" s="3">
        <v>4.0164271047227897</v>
      </c>
      <c r="W82">
        <f t="shared" si="2"/>
        <v>2.010958904109589</v>
      </c>
      <c r="X82" t="s">
        <v>98</v>
      </c>
    </row>
    <row r="83" spans="2:24" x14ac:dyDescent="0.25">
      <c r="B83" s="1" t="s">
        <v>80</v>
      </c>
      <c r="C83" s="2">
        <v>42340</v>
      </c>
      <c r="D83">
        <v>1.5</v>
      </c>
      <c r="E83">
        <v>0.5</v>
      </c>
      <c r="F83">
        <v>29</v>
      </c>
      <c r="S83" s="2">
        <v>41921</v>
      </c>
      <c r="T83">
        <v>1</v>
      </c>
      <c r="U83" s="2">
        <v>43388</v>
      </c>
      <c r="V83" s="3">
        <v>4.0164271047227897</v>
      </c>
      <c r="W83">
        <f t="shared" si="2"/>
        <v>1.1479452054794521</v>
      </c>
      <c r="X83" t="s">
        <v>97</v>
      </c>
    </row>
    <row r="84" spans="2:24" x14ac:dyDescent="0.25">
      <c r="B84" s="1" t="s">
        <v>80</v>
      </c>
      <c r="C84" s="2">
        <v>43030</v>
      </c>
      <c r="D84">
        <v>3</v>
      </c>
      <c r="E84">
        <v>0.5</v>
      </c>
      <c r="F84">
        <v>26</v>
      </c>
      <c r="S84" s="2">
        <v>41921</v>
      </c>
      <c r="T84">
        <v>1</v>
      </c>
      <c r="U84" s="2">
        <v>43388</v>
      </c>
      <c r="V84" s="3">
        <v>4.0164271047227897</v>
      </c>
      <c r="W84">
        <f t="shared" si="2"/>
        <v>3.0383561643835617</v>
      </c>
      <c r="X84" t="s">
        <v>99</v>
      </c>
    </row>
    <row r="85" spans="2:24" x14ac:dyDescent="0.25">
      <c r="B85" s="1"/>
      <c r="C85" s="2"/>
      <c r="K85" s="1"/>
      <c r="L85" s="2"/>
      <c r="S85" s="2"/>
      <c r="U85" s="2"/>
      <c r="V85" s="3"/>
    </row>
    <row r="86" spans="2:24" x14ac:dyDescent="0.25">
      <c r="B86" s="1"/>
      <c r="C86" s="2"/>
      <c r="K86" s="1"/>
      <c r="L86" s="2"/>
      <c r="S86" s="2"/>
      <c r="U86" s="2"/>
      <c r="V86" s="3"/>
    </row>
    <row r="87" spans="2:24" x14ac:dyDescent="0.25">
      <c r="B87" s="1"/>
      <c r="C87" s="2"/>
      <c r="S87" s="2"/>
      <c r="U87" s="2"/>
      <c r="V87" s="3"/>
    </row>
    <row r="88" spans="2:24" x14ac:dyDescent="0.25">
      <c r="B88" s="1"/>
      <c r="C88" s="2"/>
      <c r="K88" s="1"/>
      <c r="L88" s="2"/>
      <c r="S88" s="2"/>
      <c r="U88" s="2"/>
      <c r="V88" s="3"/>
    </row>
    <row r="89" spans="2:24" x14ac:dyDescent="0.25">
      <c r="B89" s="1"/>
      <c r="C89" s="2"/>
      <c r="K89" s="1"/>
      <c r="L89" s="2"/>
      <c r="S89" s="2"/>
      <c r="U89" s="2"/>
      <c r="V89" s="3"/>
    </row>
    <row r="90" spans="2:24" x14ac:dyDescent="0.25">
      <c r="B90" s="1"/>
      <c r="C90" s="2"/>
      <c r="K90" s="1"/>
      <c r="L90" s="2"/>
      <c r="S90" s="2"/>
      <c r="U90" s="2"/>
      <c r="V90" s="3"/>
    </row>
    <row r="91" spans="2:24" x14ac:dyDescent="0.25">
      <c r="B91" s="1"/>
      <c r="C91" s="2"/>
      <c r="K91" s="1"/>
      <c r="L91" s="2"/>
      <c r="S91" s="2"/>
      <c r="U91" s="2"/>
      <c r="V91" s="3"/>
    </row>
    <row r="92" spans="2:24" x14ac:dyDescent="0.25">
      <c r="B92" s="1"/>
      <c r="C92" s="2"/>
      <c r="K92" s="1"/>
      <c r="L92" s="2"/>
      <c r="S92" s="2"/>
      <c r="U92" s="2"/>
      <c r="V92" s="3"/>
    </row>
    <row r="93" spans="2:24" x14ac:dyDescent="0.25">
      <c r="B93" s="1"/>
      <c r="C93" s="2"/>
      <c r="K93" s="1"/>
      <c r="L93" s="2"/>
      <c r="S93" s="2"/>
      <c r="U93" s="2"/>
      <c r="V93" s="3"/>
    </row>
    <row r="94" spans="2:24" x14ac:dyDescent="0.25">
      <c r="B94" s="1"/>
      <c r="C94" s="2"/>
      <c r="S94" s="2"/>
      <c r="U94" s="2"/>
      <c r="V94" s="3"/>
    </row>
    <row r="95" spans="2:24" x14ac:dyDescent="0.25">
      <c r="B95" s="1"/>
      <c r="C95" s="2"/>
      <c r="K95" s="1"/>
      <c r="L95" s="2"/>
      <c r="S95" s="2"/>
      <c r="U95" s="2"/>
      <c r="V95" s="3"/>
    </row>
    <row r="96" spans="2:24" x14ac:dyDescent="0.25">
      <c r="B96" s="1"/>
      <c r="C96" s="2"/>
      <c r="K96" s="1"/>
      <c r="L96" s="2"/>
      <c r="S96" s="2"/>
      <c r="U96" s="2"/>
      <c r="V96" s="3"/>
    </row>
    <row r="97" spans="2:22" x14ac:dyDescent="0.25">
      <c r="B97" s="1"/>
      <c r="C97" s="2"/>
      <c r="K97" s="1"/>
      <c r="L97" s="2"/>
      <c r="S97" s="2"/>
      <c r="U97" s="2"/>
      <c r="V97" s="3"/>
    </row>
    <row r="98" spans="2:22" x14ac:dyDescent="0.25">
      <c r="B98" s="1"/>
      <c r="C98" s="2"/>
      <c r="K98" s="1"/>
      <c r="L98" s="2"/>
      <c r="S98" s="2"/>
      <c r="U98" s="2"/>
      <c r="V98" s="3"/>
    </row>
    <row r="99" spans="2:22" x14ac:dyDescent="0.25">
      <c r="B99" s="1"/>
      <c r="C99" s="2"/>
      <c r="S99" s="2"/>
      <c r="U99" s="2"/>
      <c r="V99" s="3"/>
    </row>
    <row r="100" spans="2:22" x14ac:dyDescent="0.25">
      <c r="B100" s="1"/>
      <c r="C100" s="2"/>
      <c r="K100" s="1"/>
      <c r="L100" s="2"/>
      <c r="S100" s="2"/>
      <c r="U100" s="2"/>
      <c r="V100" s="3"/>
    </row>
    <row r="101" spans="2:22" x14ac:dyDescent="0.25">
      <c r="B101" s="1"/>
      <c r="C101" s="2"/>
      <c r="K101" s="1"/>
      <c r="L101" s="2"/>
      <c r="S101" s="2"/>
      <c r="U101" s="2"/>
      <c r="V101" s="3"/>
    </row>
    <row r="102" spans="2:22" x14ac:dyDescent="0.25">
      <c r="B102" s="1"/>
      <c r="C102" s="2"/>
      <c r="K102" s="1"/>
      <c r="L102" s="2"/>
      <c r="S102" s="2"/>
      <c r="U102" s="2"/>
      <c r="V102" s="3"/>
    </row>
    <row r="103" spans="2:22" x14ac:dyDescent="0.25">
      <c r="B103" s="1"/>
      <c r="C103" s="2"/>
      <c r="K103" s="1"/>
      <c r="L103" s="2"/>
      <c r="S103" s="2"/>
      <c r="U103" s="2"/>
      <c r="V103" s="3"/>
    </row>
    <row r="104" spans="2:22" x14ac:dyDescent="0.25">
      <c r="B104" s="1"/>
      <c r="C104" s="2"/>
      <c r="K104" s="1"/>
      <c r="L104" s="2"/>
      <c r="S104" s="2"/>
      <c r="U104" s="2"/>
      <c r="V104" s="3"/>
    </row>
    <row r="105" spans="2:22" x14ac:dyDescent="0.25">
      <c r="B105" s="1"/>
      <c r="C105" s="2"/>
      <c r="S105" s="2"/>
      <c r="U105" s="2"/>
      <c r="V105" s="3"/>
    </row>
    <row r="106" spans="2:22" x14ac:dyDescent="0.25">
      <c r="B106" s="1"/>
      <c r="C106" s="2"/>
      <c r="K106" s="1"/>
      <c r="L106" s="2"/>
      <c r="S106" s="2"/>
      <c r="U106" s="2"/>
      <c r="V106" s="3"/>
    </row>
    <row r="107" spans="2:22" x14ac:dyDescent="0.25">
      <c r="B107" s="1"/>
      <c r="C107" s="2"/>
      <c r="K107" s="1"/>
      <c r="L107" s="2"/>
      <c r="S107" s="2"/>
      <c r="U107" s="2"/>
      <c r="V107" s="3"/>
    </row>
    <row r="108" spans="2:22" x14ac:dyDescent="0.25">
      <c r="B108" s="1"/>
      <c r="C108" s="2"/>
      <c r="K108" s="1"/>
      <c r="L108" s="2"/>
      <c r="S108" s="2"/>
      <c r="U108" s="2"/>
      <c r="V108" s="3"/>
    </row>
    <row r="109" spans="2:22" x14ac:dyDescent="0.25">
      <c r="B109" s="1"/>
      <c r="C109" s="2"/>
      <c r="K109" s="1"/>
      <c r="L109" s="2"/>
      <c r="S109" s="2"/>
      <c r="U109" s="2"/>
      <c r="V109" s="3"/>
    </row>
    <row r="110" spans="2:22" x14ac:dyDescent="0.25">
      <c r="B110" s="1"/>
      <c r="C110" s="2"/>
      <c r="K110" s="1"/>
      <c r="L110" s="2"/>
      <c r="S110" s="2"/>
      <c r="U110" s="2"/>
      <c r="V110" s="3"/>
    </row>
    <row r="111" spans="2:22" x14ac:dyDescent="0.25">
      <c r="B111" s="1"/>
      <c r="C111" s="2"/>
      <c r="K111" s="1"/>
      <c r="L111" s="2"/>
      <c r="S111" s="2"/>
      <c r="U111" s="2"/>
      <c r="V111" s="3"/>
    </row>
    <row r="112" spans="2:22" x14ac:dyDescent="0.25">
      <c r="B112" s="1"/>
      <c r="C112" s="2"/>
      <c r="K112" s="1"/>
      <c r="L112" s="2"/>
      <c r="S112" s="2"/>
      <c r="U112" s="2"/>
      <c r="V112" s="3"/>
    </row>
    <row r="113" spans="2:22" x14ac:dyDescent="0.25">
      <c r="B113" s="1"/>
      <c r="C113" s="2"/>
      <c r="S113" s="2"/>
      <c r="U113" s="2"/>
      <c r="V113" s="3"/>
    </row>
    <row r="114" spans="2:22" x14ac:dyDescent="0.25">
      <c r="B114" s="1"/>
      <c r="C114" s="2"/>
      <c r="K114" s="1"/>
      <c r="L114" s="2"/>
      <c r="S114" s="2"/>
      <c r="U114" s="2"/>
      <c r="V114" s="3"/>
    </row>
    <row r="115" spans="2:22" x14ac:dyDescent="0.25">
      <c r="B115" s="1"/>
      <c r="C115" s="2"/>
      <c r="K115" s="1"/>
      <c r="L115" s="2"/>
      <c r="S115" s="2"/>
      <c r="U115" s="2"/>
      <c r="V115" s="3"/>
    </row>
    <row r="116" spans="2:22" x14ac:dyDescent="0.25">
      <c r="B116" s="1"/>
      <c r="C116" s="2"/>
      <c r="S116" s="2"/>
      <c r="U116" s="2"/>
      <c r="V116" s="3"/>
    </row>
    <row r="117" spans="2:22" x14ac:dyDescent="0.25">
      <c r="B117" s="1"/>
      <c r="C117" s="2"/>
      <c r="K117" s="1"/>
      <c r="L117" s="2"/>
      <c r="S117" s="2"/>
      <c r="U117" s="2"/>
      <c r="V117" s="3"/>
    </row>
    <row r="118" spans="2:22" x14ac:dyDescent="0.25">
      <c r="B118" s="1"/>
      <c r="C118" s="2"/>
      <c r="K118" s="1"/>
      <c r="L118" s="2"/>
      <c r="S118" s="2"/>
      <c r="U118" s="2"/>
      <c r="V118" s="3"/>
    </row>
    <row r="119" spans="2:22" x14ac:dyDescent="0.25">
      <c r="B119" s="1"/>
      <c r="C119" s="2"/>
      <c r="K119" s="1"/>
      <c r="L119" s="2"/>
      <c r="S119" s="2"/>
      <c r="U119" s="2"/>
      <c r="V119" s="3"/>
    </row>
    <row r="120" spans="2:22" x14ac:dyDescent="0.25">
      <c r="B120" s="1"/>
      <c r="C120" s="2"/>
      <c r="S120" s="2"/>
      <c r="U120" s="2"/>
      <c r="V120" s="3"/>
    </row>
    <row r="121" spans="2:22" x14ac:dyDescent="0.25">
      <c r="B121" s="1"/>
      <c r="C121" s="2"/>
      <c r="S121" s="2"/>
      <c r="U121" s="2"/>
      <c r="V121" s="3"/>
    </row>
    <row r="122" spans="2:22" x14ac:dyDescent="0.25">
      <c r="B122" s="1"/>
      <c r="C122" s="2"/>
      <c r="K122" s="1"/>
      <c r="L122" s="2"/>
      <c r="S122" s="2"/>
      <c r="U122" s="2"/>
      <c r="V122" s="3"/>
    </row>
    <row r="123" spans="2:22" x14ac:dyDescent="0.25">
      <c r="B123" s="1"/>
      <c r="C123" s="2"/>
      <c r="K123" s="1"/>
      <c r="L123" s="2"/>
      <c r="S123" s="2"/>
      <c r="U123" s="2"/>
      <c r="V123" s="3"/>
    </row>
    <row r="124" spans="2:22" x14ac:dyDescent="0.25">
      <c r="B124" s="1"/>
      <c r="C124" s="2"/>
      <c r="K124" s="1"/>
      <c r="L124" s="2"/>
      <c r="S124" s="2"/>
      <c r="U124" s="2"/>
      <c r="V124" s="3"/>
    </row>
    <row r="125" spans="2:22" x14ac:dyDescent="0.25">
      <c r="B125" s="1"/>
      <c r="C125" s="2"/>
      <c r="K125" s="1"/>
      <c r="L125" s="2"/>
      <c r="S125" s="2"/>
      <c r="U125" s="2"/>
      <c r="V125" s="3"/>
    </row>
    <row r="126" spans="2:22" x14ac:dyDescent="0.25">
      <c r="B126" s="1"/>
      <c r="C126" s="2"/>
      <c r="K126" s="1"/>
      <c r="L126" s="2"/>
      <c r="S126" s="2"/>
      <c r="U126" s="2"/>
      <c r="V126" s="3"/>
    </row>
    <row r="127" spans="2:22" x14ac:dyDescent="0.25">
      <c r="B127" s="1"/>
      <c r="C127" s="2"/>
      <c r="K127" s="1"/>
      <c r="L127" s="2"/>
      <c r="S127" s="2"/>
      <c r="U127" s="2"/>
      <c r="V127" s="3"/>
    </row>
    <row r="128" spans="2:22" x14ac:dyDescent="0.25">
      <c r="B128" s="1"/>
      <c r="C128" s="2"/>
      <c r="S128" s="2"/>
      <c r="U128" s="2"/>
      <c r="V128" s="3"/>
    </row>
    <row r="129" spans="2:22" x14ac:dyDescent="0.25">
      <c r="B129" s="1"/>
      <c r="C129" s="2"/>
      <c r="S129" s="2"/>
      <c r="U129" s="2"/>
      <c r="V129" s="3"/>
    </row>
    <row r="130" spans="2:22" x14ac:dyDescent="0.25">
      <c r="B130" s="1"/>
      <c r="C130" s="2"/>
      <c r="K130" s="1"/>
      <c r="L130" s="2"/>
      <c r="S130" s="2"/>
      <c r="U130" s="2"/>
      <c r="V130" s="3"/>
    </row>
    <row r="131" spans="2:22" x14ac:dyDescent="0.25">
      <c r="B131" s="1"/>
      <c r="C131" s="2"/>
      <c r="S131" s="2"/>
      <c r="U131" s="2"/>
      <c r="V131" s="3"/>
    </row>
    <row r="132" spans="2:22" x14ac:dyDescent="0.25">
      <c r="B132" s="1"/>
      <c r="C132" s="2"/>
      <c r="S132" s="2"/>
      <c r="U132" s="2"/>
      <c r="V132" s="3"/>
    </row>
    <row r="133" spans="2:22" x14ac:dyDescent="0.25">
      <c r="B133" s="1"/>
      <c r="C133" s="2"/>
      <c r="K133" s="1"/>
      <c r="L133" s="2"/>
      <c r="S133" s="2"/>
      <c r="U133" s="2"/>
      <c r="V133" s="3"/>
    </row>
    <row r="134" spans="2:22" x14ac:dyDescent="0.25">
      <c r="B134" s="1"/>
      <c r="C134" s="2"/>
      <c r="S134" s="2"/>
      <c r="U134" s="2"/>
      <c r="V134" s="3"/>
    </row>
    <row r="135" spans="2:22" x14ac:dyDescent="0.25">
      <c r="B135" s="1"/>
      <c r="C135" s="2"/>
      <c r="K135" s="1"/>
      <c r="L135" s="2"/>
      <c r="S135" s="2"/>
      <c r="U135" s="2"/>
      <c r="V135" s="3"/>
    </row>
  </sheetData>
  <autoFilter ref="B1:X135" xr:uid="{0F8B9889-321A-40C2-8FD4-B31B5370ECF2}">
    <sortState xmlns:xlrd2="http://schemas.microsoft.com/office/spreadsheetml/2017/richdata2" ref="B2:X135">
      <sortCondition ref="B1:B135"/>
    </sortState>
  </autoFilter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E1003-26E1-4269-B159-F12652582F9B}">
  <sheetPr codeName="Tabelle3"/>
  <dimension ref="A1:AB49"/>
  <sheetViews>
    <sheetView workbookViewId="0"/>
  </sheetViews>
  <sheetFormatPr baseColWidth="10" defaultRowHeight="15" x14ac:dyDescent="0.25"/>
  <cols>
    <col min="1" max="1" width="43.7109375" customWidth="1"/>
    <col min="3" max="3" width="11.42578125" style="2"/>
    <col min="21" max="21" width="11.42578125" style="2"/>
    <col min="28" max="28" width="16" customWidth="1"/>
  </cols>
  <sheetData>
    <row r="1" spans="1:28" x14ac:dyDescent="0.25">
      <c r="A1" t="s">
        <v>126</v>
      </c>
      <c r="B1" s="1" t="s">
        <v>106</v>
      </c>
      <c r="C1" s="2" t="s">
        <v>1</v>
      </c>
      <c r="D1" s="1" t="s">
        <v>4</v>
      </c>
      <c r="E1" s="1" t="s">
        <v>5</v>
      </c>
      <c r="F1" s="3" t="s">
        <v>122</v>
      </c>
      <c r="G1" s="5" t="s">
        <v>107</v>
      </c>
      <c r="H1" s="5" t="s">
        <v>108</v>
      </c>
      <c r="I1" s="5" t="s">
        <v>109</v>
      </c>
      <c r="J1" s="5" t="s">
        <v>110</v>
      </c>
      <c r="K1" s="5" t="s">
        <v>111</v>
      </c>
      <c r="L1" s="5" t="s">
        <v>112</v>
      </c>
      <c r="M1" s="5" t="s">
        <v>113</v>
      </c>
      <c r="N1" s="5" t="s">
        <v>114</v>
      </c>
      <c r="O1" s="5" t="s">
        <v>115</v>
      </c>
      <c r="P1" s="5" t="s">
        <v>116</v>
      </c>
      <c r="Q1" s="5" t="s">
        <v>117</v>
      </c>
      <c r="R1" s="5" t="s">
        <v>118</v>
      </c>
      <c r="S1" s="6" t="s">
        <v>123</v>
      </c>
      <c r="T1" s="1" t="s">
        <v>102</v>
      </c>
      <c r="U1" s="2" t="s">
        <v>103</v>
      </c>
      <c r="V1" s="1" t="s">
        <v>104</v>
      </c>
      <c r="W1" s="1" t="s">
        <v>18</v>
      </c>
      <c r="X1" s="2" t="s">
        <v>19</v>
      </c>
      <c r="Y1" s="3" t="s">
        <v>20</v>
      </c>
      <c r="Z1" s="1" t="s">
        <v>21</v>
      </c>
      <c r="AA1" s="1" t="s">
        <v>124</v>
      </c>
      <c r="AB1" s="1" t="s">
        <v>125</v>
      </c>
    </row>
    <row r="2" spans="1:28" x14ac:dyDescent="0.25">
      <c r="B2" s="1" t="s">
        <v>88</v>
      </c>
      <c r="C2" s="2">
        <v>43584</v>
      </c>
      <c r="D2">
        <v>0</v>
      </c>
      <c r="E2">
        <v>0</v>
      </c>
      <c r="F2" s="3">
        <v>30</v>
      </c>
      <c r="T2">
        <v>1</v>
      </c>
      <c r="U2" s="2">
        <v>43584</v>
      </c>
      <c r="V2">
        <v>4.3066392881587996</v>
      </c>
      <c r="W2" s="3">
        <v>1</v>
      </c>
      <c r="X2" s="2">
        <v>44067</v>
      </c>
      <c r="Y2" s="1" t="s">
        <v>96</v>
      </c>
      <c r="Z2" t="s">
        <v>100</v>
      </c>
      <c r="AA2">
        <f t="shared" ref="AA2:AA49" si="0">(X2-C2)/365</f>
        <v>1.3232876712328767</v>
      </c>
      <c r="AB2">
        <f t="shared" ref="AB2:AB49" si="1">(U2-C2)/365</f>
        <v>0</v>
      </c>
    </row>
    <row r="3" spans="1:28" x14ac:dyDescent="0.25">
      <c r="B3" s="1" t="s">
        <v>88</v>
      </c>
      <c r="C3" s="2">
        <v>43129</v>
      </c>
      <c r="D3">
        <v>0</v>
      </c>
      <c r="E3">
        <v>0</v>
      </c>
      <c r="F3" s="3">
        <v>29</v>
      </c>
      <c r="T3">
        <v>1</v>
      </c>
      <c r="U3" s="2">
        <v>43584</v>
      </c>
      <c r="V3">
        <v>4.3066392881587996</v>
      </c>
      <c r="W3" s="3">
        <v>1</v>
      </c>
      <c r="X3" s="2">
        <v>44067</v>
      </c>
      <c r="Y3" s="1" t="s">
        <v>96</v>
      </c>
      <c r="Z3" t="s">
        <v>100</v>
      </c>
      <c r="AA3">
        <f t="shared" si="0"/>
        <v>2.56986301369863</v>
      </c>
      <c r="AB3">
        <f t="shared" si="1"/>
        <v>1.2465753424657535</v>
      </c>
    </row>
    <row r="4" spans="1:28" x14ac:dyDescent="0.25">
      <c r="B4" s="1" t="s">
        <v>88</v>
      </c>
      <c r="C4" s="2">
        <v>42747</v>
      </c>
      <c r="D4">
        <v>0</v>
      </c>
      <c r="E4">
        <v>0</v>
      </c>
      <c r="F4" s="3">
        <v>28</v>
      </c>
      <c r="T4">
        <v>1</v>
      </c>
      <c r="U4" s="2">
        <v>43584</v>
      </c>
      <c r="V4">
        <v>4.3066392881587996</v>
      </c>
      <c r="W4" s="3">
        <v>1</v>
      </c>
      <c r="X4" s="2">
        <v>44067</v>
      </c>
      <c r="Y4" s="1" t="s">
        <v>96</v>
      </c>
      <c r="Z4" t="s">
        <v>100</v>
      </c>
      <c r="AA4">
        <f t="shared" si="0"/>
        <v>3.6164383561643834</v>
      </c>
      <c r="AB4">
        <f t="shared" si="1"/>
        <v>2.2931506849315069</v>
      </c>
    </row>
    <row r="5" spans="1:28" x14ac:dyDescent="0.25">
      <c r="B5" s="1" t="s">
        <v>88</v>
      </c>
      <c r="C5" s="2">
        <v>42410</v>
      </c>
      <c r="D5">
        <v>0</v>
      </c>
      <c r="E5">
        <v>0</v>
      </c>
      <c r="F5" s="3">
        <v>29</v>
      </c>
      <c r="T5">
        <v>1</v>
      </c>
      <c r="U5" s="2">
        <v>43584</v>
      </c>
      <c r="V5">
        <v>4.3066392881587996</v>
      </c>
      <c r="W5" s="3">
        <v>1</v>
      </c>
      <c r="X5" s="2">
        <v>44067</v>
      </c>
      <c r="Y5" s="1" t="s">
        <v>96</v>
      </c>
      <c r="Z5" t="s">
        <v>100</v>
      </c>
      <c r="AA5">
        <f t="shared" si="0"/>
        <v>4.5397260273972604</v>
      </c>
      <c r="AB5">
        <f t="shared" si="1"/>
        <v>3.2164383561643834</v>
      </c>
    </row>
    <row r="6" spans="1:28" x14ac:dyDescent="0.25">
      <c r="B6" s="1" t="s">
        <v>81</v>
      </c>
      <c r="C6" s="2">
        <v>43965</v>
      </c>
      <c r="D6">
        <v>3.5</v>
      </c>
      <c r="E6">
        <v>0.5</v>
      </c>
      <c r="F6" s="3">
        <v>26</v>
      </c>
      <c r="G6">
        <v>2844.9392888785501</v>
      </c>
      <c r="H6">
        <v>1.3920205032883499</v>
      </c>
      <c r="I6">
        <v>7648.16938519632</v>
      </c>
      <c r="J6">
        <v>5.9612349638052802</v>
      </c>
      <c r="K6" s="4">
        <v>604.70716759331401</v>
      </c>
      <c r="L6">
        <v>1.99201890188735</v>
      </c>
      <c r="M6">
        <v>277.42127569916101</v>
      </c>
      <c r="N6">
        <v>8.4161415212493804E-2</v>
      </c>
      <c r="O6">
        <v>51.234999999999999</v>
      </c>
      <c r="Q6" s="4">
        <v>7.9065608662352058E-2</v>
      </c>
      <c r="R6">
        <v>11.80261867069999</v>
      </c>
      <c r="S6">
        <v>0</v>
      </c>
      <c r="T6">
        <v>1</v>
      </c>
      <c r="U6" s="2">
        <v>43563</v>
      </c>
      <c r="V6">
        <v>1.0266940451745401</v>
      </c>
      <c r="W6" s="3">
        <v>1</v>
      </c>
      <c r="X6" s="2">
        <v>44272</v>
      </c>
      <c r="Y6" s="1" t="s">
        <v>93</v>
      </c>
      <c r="Z6" t="s">
        <v>97</v>
      </c>
      <c r="AA6">
        <f t="shared" si="0"/>
        <v>0.84109589041095889</v>
      </c>
      <c r="AB6">
        <f t="shared" si="1"/>
        <v>-1.1013698630136985</v>
      </c>
    </row>
    <row r="7" spans="1:28" x14ac:dyDescent="0.25">
      <c r="B7" s="1" t="s">
        <v>81</v>
      </c>
      <c r="C7" s="2">
        <v>43563</v>
      </c>
      <c r="D7">
        <v>2.5</v>
      </c>
      <c r="E7">
        <v>0.5</v>
      </c>
      <c r="F7" s="3">
        <v>27</v>
      </c>
      <c r="T7">
        <v>1</v>
      </c>
      <c r="U7" s="2">
        <v>43563</v>
      </c>
      <c r="V7">
        <v>1.0266940451745401</v>
      </c>
      <c r="W7" s="3">
        <v>1</v>
      </c>
      <c r="X7" s="2">
        <v>44272</v>
      </c>
      <c r="Y7" s="1" t="s">
        <v>93</v>
      </c>
      <c r="Z7" t="s">
        <v>97</v>
      </c>
      <c r="AA7">
        <f t="shared" si="0"/>
        <v>1.9424657534246574</v>
      </c>
      <c r="AB7">
        <f t="shared" si="1"/>
        <v>0</v>
      </c>
    </row>
    <row r="8" spans="1:28" x14ac:dyDescent="0.25">
      <c r="B8" s="1" t="s">
        <v>84</v>
      </c>
      <c r="C8" s="2">
        <v>43682</v>
      </c>
      <c r="D8">
        <v>3</v>
      </c>
      <c r="E8">
        <v>0.5</v>
      </c>
      <c r="F8" s="3">
        <v>27</v>
      </c>
      <c r="T8">
        <v>1</v>
      </c>
      <c r="U8" s="2">
        <v>43682</v>
      </c>
      <c r="V8">
        <v>2.0506502395619401</v>
      </c>
      <c r="W8" s="3">
        <v>1</v>
      </c>
      <c r="X8" s="2">
        <v>44088</v>
      </c>
      <c r="Y8" s="1" t="s">
        <v>95</v>
      </c>
      <c r="Z8" t="s">
        <v>98</v>
      </c>
      <c r="AA8">
        <f t="shared" si="0"/>
        <v>1.1123287671232878</v>
      </c>
      <c r="AB8">
        <f t="shared" si="1"/>
        <v>0</v>
      </c>
    </row>
    <row r="9" spans="1:28" x14ac:dyDescent="0.25">
      <c r="B9" s="1" t="s">
        <v>84</v>
      </c>
      <c r="C9" s="2">
        <v>43304</v>
      </c>
      <c r="D9">
        <v>0</v>
      </c>
      <c r="E9">
        <v>0</v>
      </c>
      <c r="F9" s="3">
        <v>30</v>
      </c>
      <c r="T9">
        <v>1</v>
      </c>
      <c r="U9" s="2">
        <v>43682</v>
      </c>
      <c r="V9">
        <v>2.0506502395619401</v>
      </c>
      <c r="W9" s="3">
        <v>1</v>
      </c>
      <c r="X9" s="2">
        <v>44088</v>
      </c>
      <c r="Y9" s="1" t="s">
        <v>95</v>
      </c>
      <c r="Z9" t="s">
        <v>98</v>
      </c>
      <c r="AA9">
        <f t="shared" si="0"/>
        <v>2.1479452054794521</v>
      </c>
      <c r="AB9">
        <f t="shared" si="1"/>
        <v>1.0356164383561643</v>
      </c>
    </row>
    <row r="10" spans="1:28" x14ac:dyDescent="0.25">
      <c r="B10" s="1" t="s">
        <v>82</v>
      </c>
      <c r="C10" s="2">
        <v>42969</v>
      </c>
      <c r="D10">
        <v>4.5</v>
      </c>
      <c r="E10">
        <v>1</v>
      </c>
      <c r="F10" s="3">
        <v>26</v>
      </c>
      <c r="T10">
        <v>1</v>
      </c>
      <c r="U10" s="2">
        <v>42969</v>
      </c>
      <c r="V10">
        <v>1.0376454483230699</v>
      </c>
      <c r="W10" s="3">
        <v>1</v>
      </c>
      <c r="X10" s="2">
        <v>43374</v>
      </c>
      <c r="Y10" s="1" t="s">
        <v>94</v>
      </c>
      <c r="Z10" t="s">
        <v>97</v>
      </c>
      <c r="AA10">
        <f t="shared" si="0"/>
        <v>1.1095890410958904</v>
      </c>
      <c r="AB10">
        <f t="shared" si="1"/>
        <v>0</v>
      </c>
    </row>
    <row r="11" spans="1:28" x14ac:dyDescent="0.25">
      <c r="B11" s="1" t="s">
        <v>85</v>
      </c>
      <c r="C11" s="2">
        <v>44347</v>
      </c>
      <c r="D11">
        <v>0</v>
      </c>
      <c r="E11">
        <v>0</v>
      </c>
      <c r="F11" s="3">
        <v>27</v>
      </c>
      <c r="T11">
        <v>1</v>
      </c>
      <c r="U11" s="2">
        <v>43999</v>
      </c>
      <c r="V11">
        <v>2.0369609856262798</v>
      </c>
      <c r="W11" s="3">
        <v>1</v>
      </c>
      <c r="X11" s="2">
        <v>45110</v>
      </c>
      <c r="Y11">
        <v>5.0787132101300498</v>
      </c>
      <c r="Z11" t="s">
        <v>98</v>
      </c>
      <c r="AA11">
        <f t="shared" si="0"/>
        <v>2.0904109589041098</v>
      </c>
      <c r="AB11">
        <f t="shared" si="1"/>
        <v>-0.95342465753424654</v>
      </c>
    </row>
    <row r="12" spans="1:28" x14ac:dyDescent="0.25">
      <c r="B12" s="1" t="s">
        <v>85</v>
      </c>
      <c r="C12" s="2">
        <v>43999</v>
      </c>
      <c r="D12">
        <v>0</v>
      </c>
      <c r="E12">
        <v>0</v>
      </c>
      <c r="F12" s="3">
        <v>30</v>
      </c>
      <c r="T12">
        <v>1</v>
      </c>
      <c r="U12" s="2">
        <v>43999</v>
      </c>
      <c r="V12">
        <v>2.0369609856262798</v>
      </c>
      <c r="W12" s="3">
        <v>1</v>
      </c>
      <c r="X12" s="2">
        <v>45110</v>
      </c>
      <c r="Y12">
        <v>5.0787132101300498</v>
      </c>
      <c r="Z12" t="s">
        <v>98</v>
      </c>
      <c r="AA12">
        <f t="shared" si="0"/>
        <v>3.043835616438356</v>
      </c>
      <c r="AB12">
        <f t="shared" si="1"/>
        <v>0</v>
      </c>
    </row>
    <row r="13" spans="1:28" x14ac:dyDescent="0.25">
      <c r="B13" s="1" t="s">
        <v>85</v>
      </c>
      <c r="C13" s="2">
        <v>43668</v>
      </c>
      <c r="D13">
        <v>0.5</v>
      </c>
      <c r="E13">
        <v>0.5</v>
      </c>
      <c r="F13" s="3">
        <v>30</v>
      </c>
      <c r="T13">
        <v>1</v>
      </c>
      <c r="U13" s="2">
        <v>43999</v>
      </c>
      <c r="V13">
        <v>2.0369609856262798</v>
      </c>
      <c r="W13" s="3">
        <v>1</v>
      </c>
      <c r="X13" s="2">
        <v>45110</v>
      </c>
      <c r="Y13">
        <v>5.0787132101300498</v>
      </c>
      <c r="Z13" t="s">
        <v>98</v>
      </c>
      <c r="AA13">
        <f t="shared" si="0"/>
        <v>3.9506849315068493</v>
      </c>
      <c r="AB13">
        <f t="shared" si="1"/>
        <v>0.9068493150684932</v>
      </c>
    </row>
    <row r="14" spans="1:28" x14ac:dyDescent="0.25">
      <c r="B14" s="1" t="s">
        <v>87</v>
      </c>
      <c r="C14" s="2">
        <v>44725</v>
      </c>
      <c r="D14">
        <v>2.5</v>
      </c>
      <c r="E14">
        <v>0.5</v>
      </c>
      <c r="F14" s="3">
        <v>26</v>
      </c>
      <c r="T14">
        <v>1</v>
      </c>
      <c r="U14" s="2">
        <v>44004</v>
      </c>
      <c r="V14">
        <v>3.0034223134839202</v>
      </c>
      <c r="W14" s="3">
        <v>1</v>
      </c>
      <c r="X14" s="2">
        <v>45215</v>
      </c>
      <c r="Y14">
        <v>6.3189596167008899</v>
      </c>
      <c r="Z14" t="s">
        <v>99</v>
      </c>
      <c r="AA14">
        <f t="shared" si="0"/>
        <v>1.3424657534246576</v>
      </c>
      <c r="AB14">
        <f t="shared" si="1"/>
        <v>-1.9753424657534246</v>
      </c>
    </row>
    <row r="15" spans="1:28" x14ac:dyDescent="0.25">
      <c r="B15" s="1" t="s">
        <v>87</v>
      </c>
      <c r="C15" s="2">
        <v>44375</v>
      </c>
      <c r="D15">
        <v>0.5</v>
      </c>
      <c r="E15">
        <v>0</v>
      </c>
      <c r="F15" s="3">
        <v>28</v>
      </c>
      <c r="T15">
        <v>1</v>
      </c>
      <c r="U15" s="2">
        <v>44004</v>
      </c>
      <c r="V15">
        <v>3.0034223134839202</v>
      </c>
      <c r="W15" s="3">
        <v>1</v>
      </c>
      <c r="X15" s="2">
        <v>45215</v>
      </c>
      <c r="Y15">
        <v>6.3189596167008899</v>
      </c>
      <c r="Z15" t="s">
        <v>99</v>
      </c>
      <c r="AA15">
        <f t="shared" si="0"/>
        <v>2.3013698630136985</v>
      </c>
      <c r="AB15">
        <f t="shared" si="1"/>
        <v>-1.0164383561643835</v>
      </c>
    </row>
    <row r="16" spans="1:28" x14ac:dyDescent="0.25">
      <c r="B16" s="1" t="s">
        <v>87</v>
      </c>
      <c r="C16" s="2">
        <v>44004</v>
      </c>
      <c r="D16">
        <v>1</v>
      </c>
      <c r="E16">
        <v>0.5</v>
      </c>
      <c r="F16" s="3">
        <v>27</v>
      </c>
      <c r="T16">
        <v>1</v>
      </c>
      <c r="U16" s="2">
        <v>44004</v>
      </c>
      <c r="V16">
        <v>3.0034223134839202</v>
      </c>
      <c r="W16" s="3">
        <v>1</v>
      </c>
      <c r="X16" s="2">
        <v>45215</v>
      </c>
      <c r="Y16">
        <v>6.3189596167008899</v>
      </c>
      <c r="Z16" t="s">
        <v>99</v>
      </c>
      <c r="AA16">
        <f t="shared" si="0"/>
        <v>3.3178082191780822</v>
      </c>
      <c r="AB16">
        <f t="shared" si="1"/>
        <v>0</v>
      </c>
    </row>
    <row r="17" spans="2:28" x14ac:dyDescent="0.25">
      <c r="B17" s="1" t="s">
        <v>87</v>
      </c>
      <c r="C17" s="2">
        <v>43612</v>
      </c>
      <c r="D17">
        <v>0</v>
      </c>
      <c r="E17">
        <v>0</v>
      </c>
      <c r="F17" s="3">
        <v>28</v>
      </c>
      <c r="T17">
        <v>1</v>
      </c>
      <c r="U17" s="2">
        <v>44004</v>
      </c>
      <c r="V17">
        <v>3.0034223134839202</v>
      </c>
      <c r="W17" s="3">
        <v>1</v>
      </c>
      <c r="X17" s="2">
        <v>45215</v>
      </c>
      <c r="Y17">
        <v>6.3189596167008899</v>
      </c>
      <c r="Z17" t="s">
        <v>99</v>
      </c>
      <c r="AA17">
        <f t="shared" si="0"/>
        <v>4.3917808219178083</v>
      </c>
      <c r="AB17">
        <f t="shared" si="1"/>
        <v>1.0739726027397261</v>
      </c>
    </row>
    <row r="18" spans="2:28" x14ac:dyDescent="0.25">
      <c r="B18" s="1" t="s">
        <v>87</v>
      </c>
      <c r="C18" s="2">
        <v>43283</v>
      </c>
      <c r="D18">
        <v>0</v>
      </c>
      <c r="E18">
        <v>0</v>
      </c>
      <c r="F18" s="3">
        <v>30</v>
      </c>
      <c r="T18">
        <v>1</v>
      </c>
      <c r="U18" s="2">
        <v>44004</v>
      </c>
      <c r="V18">
        <v>3.0034223134839202</v>
      </c>
      <c r="W18" s="3">
        <v>1</v>
      </c>
      <c r="X18" s="2">
        <v>45215</v>
      </c>
      <c r="Y18">
        <v>6.3189596167008899</v>
      </c>
      <c r="Z18" t="s">
        <v>99</v>
      </c>
      <c r="AA18">
        <f t="shared" si="0"/>
        <v>5.2931506849315069</v>
      </c>
      <c r="AB18">
        <f t="shared" si="1"/>
        <v>1.9753424657534246</v>
      </c>
    </row>
    <row r="19" spans="2:28" x14ac:dyDescent="0.25">
      <c r="B19" s="1" t="s">
        <v>89</v>
      </c>
      <c r="C19" s="2">
        <v>42529</v>
      </c>
      <c r="D19">
        <v>0</v>
      </c>
      <c r="E19">
        <v>0</v>
      </c>
      <c r="F19" s="3">
        <v>29</v>
      </c>
      <c r="G19">
        <v>3925.4729577886101</v>
      </c>
      <c r="H19">
        <v>0.84681954953494598</v>
      </c>
      <c r="I19">
        <v>9471.8522854732491</v>
      </c>
      <c r="J19">
        <v>6.1231902086457497</v>
      </c>
      <c r="K19" s="4">
        <v>372.48781233409301</v>
      </c>
      <c r="L19">
        <v>0.63315818551793102</v>
      </c>
      <c r="M19" s="4">
        <v>710.66511300230195</v>
      </c>
      <c r="N19">
        <v>1.5699959680194799</v>
      </c>
      <c r="O19" s="4">
        <v>123.47</v>
      </c>
      <c r="P19">
        <v>0.92522000000000004</v>
      </c>
      <c r="Q19" s="4">
        <v>3.9325762386029667E-2</v>
      </c>
      <c r="R19" s="4">
        <v>3.0168284792588729</v>
      </c>
      <c r="S19">
        <v>0</v>
      </c>
      <c r="T19">
        <v>1</v>
      </c>
      <c r="U19" s="2">
        <v>43643</v>
      </c>
      <c r="V19">
        <v>4.0492813141683799</v>
      </c>
      <c r="W19" s="3">
        <v>1</v>
      </c>
      <c r="X19" s="2">
        <v>44729</v>
      </c>
      <c r="Y19">
        <v>7.0225872689938402</v>
      </c>
      <c r="Z19" t="s">
        <v>100</v>
      </c>
      <c r="AA19">
        <f t="shared" si="0"/>
        <v>6.0273972602739727</v>
      </c>
      <c r="AB19">
        <f t="shared" si="1"/>
        <v>3.0520547945205481</v>
      </c>
    </row>
    <row r="20" spans="2:28" x14ac:dyDescent="0.25">
      <c r="B20" s="1" t="s">
        <v>89</v>
      </c>
      <c r="C20" s="2">
        <v>43283</v>
      </c>
      <c r="D20">
        <v>0.5</v>
      </c>
      <c r="E20">
        <v>0.5</v>
      </c>
      <c r="F20" s="3">
        <v>28</v>
      </c>
      <c r="G20">
        <v>4140.2939214058397</v>
      </c>
      <c r="H20">
        <v>4.9312768718763103</v>
      </c>
      <c r="I20">
        <v>10231.439886836601</v>
      </c>
      <c r="J20">
        <v>2.0055430968744199</v>
      </c>
      <c r="K20" s="4">
        <v>391.34332139435003</v>
      </c>
      <c r="L20">
        <v>0.95240365937109095</v>
      </c>
      <c r="M20" s="4">
        <v>753.257994993284</v>
      </c>
      <c r="N20">
        <v>10.381925330706601</v>
      </c>
      <c r="O20" s="4">
        <v>109.14</v>
      </c>
      <c r="P20">
        <v>3.1482000000000001</v>
      </c>
      <c r="Q20" s="4">
        <v>3.8249095505886531E-2</v>
      </c>
      <c r="R20" s="4">
        <v>3.5857002143517498</v>
      </c>
      <c r="S20">
        <v>0</v>
      </c>
      <c r="T20">
        <v>1</v>
      </c>
      <c r="U20" s="2">
        <v>43643</v>
      </c>
      <c r="V20">
        <v>4.0492813141683799</v>
      </c>
      <c r="W20" s="3">
        <v>1</v>
      </c>
      <c r="X20" s="2">
        <v>44729</v>
      </c>
      <c r="Y20">
        <v>7.0225872689938402</v>
      </c>
      <c r="Z20" t="s">
        <v>100</v>
      </c>
      <c r="AA20">
        <f t="shared" si="0"/>
        <v>3.9616438356164383</v>
      </c>
      <c r="AB20">
        <f t="shared" si="1"/>
        <v>0.98630136986301364</v>
      </c>
    </row>
    <row r="21" spans="2:28" x14ac:dyDescent="0.25">
      <c r="B21" s="1" t="s">
        <v>89</v>
      </c>
      <c r="C21" s="2">
        <v>44363</v>
      </c>
      <c r="D21">
        <v>2.5</v>
      </c>
      <c r="E21">
        <v>0.5</v>
      </c>
      <c r="F21" s="3">
        <v>25</v>
      </c>
      <c r="T21">
        <v>1</v>
      </c>
      <c r="U21" s="2">
        <v>43643</v>
      </c>
      <c r="V21">
        <v>4.0492813141683799</v>
      </c>
      <c r="W21" s="3">
        <v>1</v>
      </c>
      <c r="X21" s="2">
        <v>44729</v>
      </c>
      <c r="Y21">
        <v>7.0225872689938402</v>
      </c>
      <c r="Z21" t="s">
        <v>100</v>
      </c>
      <c r="AA21">
        <f t="shared" si="0"/>
        <v>1.0027397260273974</v>
      </c>
      <c r="AB21">
        <f t="shared" si="1"/>
        <v>-1.9726027397260273</v>
      </c>
    </row>
    <row r="22" spans="2:28" x14ac:dyDescent="0.25">
      <c r="B22" s="1" t="s">
        <v>89</v>
      </c>
      <c r="C22" s="2">
        <v>44061</v>
      </c>
      <c r="D22">
        <v>2</v>
      </c>
      <c r="E22">
        <v>0.5</v>
      </c>
      <c r="F22" s="3">
        <v>27</v>
      </c>
      <c r="T22">
        <v>1</v>
      </c>
      <c r="U22" s="2">
        <v>43643</v>
      </c>
      <c r="V22">
        <v>4.0492813141683799</v>
      </c>
      <c r="W22" s="3">
        <v>1</v>
      </c>
      <c r="X22" s="2">
        <v>44729</v>
      </c>
      <c r="Y22">
        <v>7.0225872689938402</v>
      </c>
      <c r="Z22" t="s">
        <v>100</v>
      </c>
      <c r="AA22">
        <f t="shared" si="0"/>
        <v>1.8301369863013699</v>
      </c>
      <c r="AB22">
        <f t="shared" si="1"/>
        <v>-1.1452054794520548</v>
      </c>
    </row>
    <row r="23" spans="2:28" x14ac:dyDescent="0.25">
      <c r="B23" s="1" t="s">
        <v>89</v>
      </c>
      <c r="C23" s="2">
        <v>43643</v>
      </c>
      <c r="D23">
        <v>0.5</v>
      </c>
      <c r="E23">
        <v>0.5</v>
      </c>
      <c r="F23" s="3">
        <v>27</v>
      </c>
      <c r="T23">
        <v>1</v>
      </c>
      <c r="U23" s="2">
        <v>43643</v>
      </c>
      <c r="V23">
        <v>4.0492813141683799</v>
      </c>
      <c r="W23" s="3">
        <v>1</v>
      </c>
      <c r="X23" s="2">
        <v>44729</v>
      </c>
      <c r="Y23">
        <v>7.0225872689938402</v>
      </c>
      <c r="Z23" t="s">
        <v>100</v>
      </c>
      <c r="AA23">
        <f t="shared" si="0"/>
        <v>2.9753424657534246</v>
      </c>
      <c r="AB23">
        <f t="shared" si="1"/>
        <v>0</v>
      </c>
    </row>
    <row r="24" spans="2:28" x14ac:dyDescent="0.25">
      <c r="B24" s="1" t="s">
        <v>89</v>
      </c>
      <c r="C24" s="2">
        <v>42901</v>
      </c>
      <c r="D24">
        <v>0</v>
      </c>
      <c r="E24">
        <v>0</v>
      </c>
      <c r="F24" s="3">
        <v>30</v>
      </c>
      <c r="T24">
        <v>1</v>
      </c>
      <c r="U24" s="2">
        <v>43643</v>
      </c>
      <c r="V24">
        <v>4.0492813141683799</v>
      </c>
      <c r="W24" s="3">
        <v>1</v>
      </c>
      <c r="X24" s="2">
        <v>44729</v>
      </c>
      <c r="Y24">
        <v>7.0225872689938402</v>
      </c>
      <c r="Z24" t="s">
        <v>100</v>
      </c>
      <c r="AA24">
        <f t="shared" si="0"/>
        <v>5.0082191780821921</v>
      </c>
      <c r="AB24">
        <f t="shared" si="1"/>
        <v>2.032876712328767</v>
      </c>
    </row>
    <row r="25" spans="2:28" x14ac:dyDescent="0.25">
      <c r="B25" s="1" t="s">
        <v>90</v>
      </c>
      <c r="C25" s="2">
        <v>43808</v>
      </c>
      <c r="D25">
        <v>2</v>
      </c>
      <c r="E25">
        <v>0.5</v>
      </c>
      <c r="F25" s="3">
        <v>29</v>
      </c>
      <c r="G25">
        <v>2348.43328681608</v>
      </c>
      <c r="H25">
        <v>1.45421054407916</v>
      </c>
      <c r="I25">
        <v>7147.3679478347303</v>
      </c>
      <c r="J25">
        <v>8.3468932518895603E-2</v>
      </c>
      <c r="K25" s="4">
        <v>436.76437836368001</v>
      </c>
      <c r="L25">
        <v>2.7610097370459701</v>
      </c>
      <c r="M25">
        <v>413.04919826231702</v>
      </c>
      <c r="N25">
        <v>4.9168396325187</v>
      </c>
      <c r="O25">
        <v>69.405000000000001</v>
      </c>
      <c r="P25">
        <v>1.8629</v>
      </c>
      <c r="Q25" s="4">
        <v>6.1108422226394017E-2</v>
      </c>
      <c r="R25" s="4">
        <v>6.2929814619073552</v>
      </c>
      <c r="S25">
        <v>0</v>
      </c>
      <c r="T25">
        <v>1</v>
      </c>
      <c r="U25" s="2">
        <v>44550</v>
      </c>
      <c r="V25">
        <v>4.0027378507871303</v>
      </c>
      <c r="W25" s="3">
        <v>1</v>
      </c>
      <c r="X25" s="2">
        <v>45294</v>
      </c>
      <c r="Y25">
        <v>6.0396988364134199</v>
      </c>
      <c r="Z25" t="s">
        <v>100</v>
      </c>
      <c r="AA25">
        <f t="shared" si="0"/>
        <v>4.0712328767123287</v>
      </c>
      <c r="AB25">
        <f t="shared" si="1"/>
        <v>2.032876712328767</v>
      </c>
    </row>
    <row r="26" spans="2:28" x14ac:dyDescent="0.25">
      <c r="B26" s="1" t="s">
        <v>90</v>
      </c>
      <c r="C26" s="2">
        <v>44550</v>
      </c>
      <c r="D26">
        <v>3.5</v>
      </c>
      <c r="E26">
        <v>0.5</v>
      </c>
      <c r="F26" s="3">
        <v>30</v>
      </c>
      <c r="I26">
        <v>9654</v>
      </c>
      <c r="K26" s="4">
        <v>562</v>
      </c>
      <c r="M26">
        <v>476</v>
      </c>
      <c r="O26" s="4">
        <v>77.5</v>
      </c>
      <c r="Q26" s="4">
        <v>5.821421172570955E-2</v>
      </c>
      <c r="R26" s="4">
        <v>7.2516129032258068</v>
      </c>
      <c r="S26">
        <v>1</v>
      </c>
      <c r="T26">
        <v>1</v>
      </c>
      <c r="U26" s="2">
        <v>44550</v>
      </c>
      <c r="V26">
        <v>4.0027378507871303</v>
      </c>
      <c r="W26" s="3">
        <v>1</v>
      </c>
      <c r="X26" s="2">
        <v>45294</v>
      </c>
      <c r="Y26">
        <v>6.0396988364134199</v>
      </c>
      <c r="Z26" t="s">
        <v>100</v>
      </c>
      <c r="AA26">
        <f t="shared" si="0"/>
        <v>2.0383561643835617</v>
      </c>
      <c r="AB26">
        <f t="shared" si="1"/>
        <v>0</v>
      </c>
    </row>
    <row r="27" spans="2:28" x14ac:dyDescent="0.25">
      <c r="B27" s="1" t="s">
        <v>90</v>
      </c>
      <c r="C27" s="2">
        <v>44916</v>
      </c>
      <c r="D27">
        <v>3</v>
      </c>
      <c r="E27">
        <v>0.5</v>
      </c>
      <c r="F27" s="3">
        <v>27</v>
      </c>
      <c r="T27">
        <v>1</v>
      </c>
      <c r="U27" s="2">
        <v>44550</v>
      </c>
      <c r="V27">
        <v>4.0027378507871303</v>
      </c>
      <c r="W27" s="3">
        <v>1</v>
      </c>
      <c r="X27" s="2">
        <v>45294</v>
      </c>
      <c r="Y27">
        <v>6.0396988364134199</v>
      </c>
      <c r="Z27" t="s">
        <v>100</v>
      </c>
      <c r="AA27">
        <f t="shared" si="0"/>
        <v>1.0356164383561643</v>
      </c>
      <c r="AB27">
        <f t="shared" si="1"/>
        <v>-1.0027397260273974</v>
      </c>
    </row>
    <row r="28" spans="2:28" x14ac:dyDescent="0.25">
      <c r="B28" s="1" t="s">
        <v>90</v>
      </c>
      <c r="C28" s="2">
        <v>43454</v>
      </c>
      <c r="D28">
        <v>1</v>
      </c>
      <c r="E28">
        <v>0.5</v>
      </c>
      <c r="F28" s="3">
        <v>28</v>
      </c>
      <c r="T28">
        <v>1</v>
      </c>
      <c r="U28" s="2">
        <v>44550</v>
      </c>
      <c r="V28">
        <v>4.0027378507871303</v>
      </c>
      <c r="W28" s="3">
        <v>1</v>
      </c>
      <c r="X28" s="2">
        <v>45294</v>
      </c>
      <c r="Y28">
        <v>6.0396988364134199</v>
      </c>
      <c r="Z28" t="s">
        <v>100</v>
      </c>
      <c r="AA28">
        <f t="shared" si="0"/>
        <v>5.0410958904109586</v>
      </c>
      <c r="AB28">
        <f t="shared" si="1"/>
        <v>3.0027397260273974</v>
      </c>
    </row>
    <row r="29" spans="2:28" x14ac:dyDescent="0.25">
      <c r="B29" s="1" t="s">
        <v>83</v>
      </c>
      <c r="C29" s="2">
        <v>44271</v>
      </c>
      <c r="D29">
        <v>3.5</v>
      </c>
      <c r="E29">
        <v>0.5</v>
      </c>
      <c r="F29" s="3">
        <v>25</v>
      </c>
      <c r="T29">
        <v>1</v>
      </c>
      <c r="U29" s="2">
        <v>42450</v>
      </c>
      <c r="V29">
        <v>0.99657768651608503</v>
      </c>
      <c r="W29" s="3">
        <v>1</v>
      </c>
      <c r="X29" s="2">
        <v>44756</v>
      </c>
      <c r="Y29">
        <v>7.31006160164271</v>
      </c>
      <c r="Z29" t="s">
        <v>97</v>
      </c>
      <c r="AA29">
        <f t="shared" si="0"/>
        <v>1.3287671232876712</v>
      </c>
      <c r="AB29">
        <f t="shared" si="1"/>
        <v>-4.9890410958904106</v>
      </c>
    </row>
    <row r="30" spans="2:28" x14ac:dyDescent="0.25">
      <c r="B30" s="1" t="s">
        <v>83</v>
      </c>
      <c r="C30" s="2">
        <v>43549</v>
      </c>
      <c r="D30">
        <v>3</v>
      </c>
      <c r="E30">
        <v>0.5</v>
      </c>
      <c r="F30" s="3">
        <v>24</v>
      </c>
      <c r="T30">
        <v>1</v>
      </c>
      <c r="U30" s="2">
        <v>42450</v>
      </c>
      <c r="V30">
        <v>0.99657768651608503</v>
      </c>
      <c r="W30" s="3">
        <v>1</v>
      </c>
      <c r="X30" s="2">
        <v>44756</v>
      </c>
      <c r="Y30">
        <v>7.31006160164271</v>
      </c>
      <c r="Z30" t="s">
        <v>97</v>
      </c>
      <c r="AA30">
        <f t="shared" si="0"/>
        <v>3.3068493150684932</v>
      </c>
      <c r="AB30">
        <f t="shared" si="1"/>
        <v>-3.010958904109589</v>
      </c>
    </row>
    <row r="31" spans="2:28" x14ac:dyDescent="0.25">
      <c r="B31" s="1" t="s">
        <v>83</v>
      </c>
      <c r="C31" s="2">
        <v>43187</v>
      </c>
      <c r="D31">
        <v>2</v>
      </c>
      <c r="E31">
        <v>0.5</v>
      </c>
      <c r="F31" s="3">
        <v>27</v>
      </c>
      <c r="T31">
        <v>1</v>
      </c>
      <c r="U31" s="2">
        <v>42450</v>
      </c>
      <c r="V31">
        <v>0.99657768651608503</v>
      </c>
      <c r="W31" s="3">
        <v>1</v>
      </c>
      <c r="X31" s="2">
        <v>44756</v>
      </c>
      <c r="Y31">
        <v>7.31006160164271</v>
      </c>
      <c r="Z31" t="s">
        <v>97</v>
      </c>
      <c r="AA31">
        <f t="shared" si="0"/>
        <v>4.2986301369863016</v>
      </c>
      <c r="AB31">
        <f t="shared" si="1"/>
        <v>-2.0191780821917806</v>
      </c>
    </row>
    <row r="32" spans="2:28" x14ac:dyDescent="0.25">
      <c r="B32" s="1" t="s">
        <v>83</v>
      </c>
      <c r="C32" s="2">
        <v>42817</v>
      </c>
      <c r="D32">
        <v>3.5</v>
      </c>
      <c r="E32">
        <v>0.5</v>
      </c>
      <c r="F32" s="3">
        <v>28</v>
      </c>
      <c r="T32">
        <v>1</v>
      </c>
      <c r="U32" s="2">
        <v>42450</v>
      </c>
      <c r="V32">
        <v>0.99657768651608503</v>
      </c>
      <c r="W32" s="3">
        <v>1</v>
      </c>
      <c r="X32" s="2">
        <v>44756</v>
      </c>
      <c r="Y32">
        <v>7.31006160164271</v>
      </c>
      <c r="Z32" t="s">
        <v>97</v>
      </c>
      <c r="AA32">
        <f t="shared" si="0"/>
        <v>5.3123287671232875</v>
      </c>
      <c r="AB32">
        <f t="shared" si="1"/>
        <v>-1.0054794520547945</v>
      </c>
    </row>
    <row r="33" spans="2:28" x14ac:dyDescent="0.25">
      <c r="B33" s="1" t="s">
        <v>83</v>
      </c>
      <c r="C33" s="2">
        <v>42450</v>
      </c>
      <c r="D33">
        <v>2.5</v>
      </c>
      <c r="E33">
        <v>0.5</v>
      </c>
      <c r="F33" s="3">
        <v>28</v>
      </c>
      <c r="T33">
        <v>1</v>
      </c>
      <c r="U33" s="2">
        <v>42450</v>
      </c>
      <c r="V33">
        <v>0.99657768651608503</v>
      </c>
      <c r="W33" s="3">
        <v>1</v>
      </c>
      <c r="X33" s="2">
        <v>44756</v>
      </c>
      <c r="Y33">
        <v>7.31006160164271</v>
      </c>
      <c r="Z33" t="s">
        <v>97</v>
      </c>
      <c r="AA33">
        <f t="shared" si="0"/>
        <v>6.3178082191780822</v>
      </c>
      <c r="AB33">
        <f t="shared" si="1"/>
        <v>0</v>
      </c>
    </row>
    <row r="34" spans="2:28" x14ac:dyDescent="0.25">
      <c r="B34" s="1" t="s">
        <v>91</v>
      </c>
      <c r="C34" s="2">
        <v>44418</v>
      </c>
      <c r="D34">
        <v>3.5</v>
      </c>
      <c r="E34">
        <v>0.5</v>
      </c>
      <c r="F34" s="3">
        <v>24</v>
      </c>
      <c r="I34">
        <v>6791</v>
      </c>
      <c r="K34" s="4">
        <v>386</v>
      </c>
      <c r="M34">
        <v>303</v>
      </c>
      <c r="O34">
        <v>50.9</v>
      </c>
      <c r="Q34" s="4">
        <v>5.6839935208364008E-2</v>
      </c>
      <c r="R34" s="4">
        <v>7.5834970530451873</v>
      </c>
      <c r="S34">
        <v>1</v>
      </c>
      <c r="T34">
        <v>1</v>
      </c>
      <c r="U34" s="2">
        <v>43325</v>
      </c>
      <c r="V34">
        <v>4.0246406570841904</v>
      </c>
      <c r="W34" s="3">
        <v>1</v>
      </c>
      <c r="X34" s="2">
        <v>44778</v>
      </c>
      <c r="Y34">
        <v>8.0027378507871294</v>
      </c>
      <c r="Z34" t="s">
        <v>100</v>
      </c>
      <c r="AA34">
        <f t="shared" si="0"/>
        <v>0.98630136986301364</v>
      </c>
      <c r="AB34">
        <f t="shared" si="1"/>
        <v>-2.9945205479452053</v>
      </c>
    </row>
    <row r="35" spans="2:28" x14ac:dyDescent="0.25">
      <c r="B35" s="1" t="s">
        <v>91</v>
      </c>
      <c r="C35" s="2">
        <v>44070</v>
      </c>
      <c r="D35">
        <v>0.5</v>
      </c>
      <c r="E35">
        <v>0.5</v>
      </c>
      <c r="F35" s="3">
        <v>28</v>
      </c>
      <c r="T35">
        <v>1</v>
      </c>
      <c r="U35" s="2">
        <v>43325</v>
      </c>
      <c r="V35">
        <v>4.0246406570841904</v>
      </c>
      <c r="W35" s="3">
        <v>1</v>
      </c>
      <c r="X35" s="2">
        <v>44778</v>
      </c>
      <c r="Y35">
        <v>8.0027378507871294</v>
      </c>
      <c r="Z35" t="s">
        <v>100</v>
      </c>
      <c r="AA35">
        <f t="shared" si="0"/>
        <v>1.9397260273972603</v>
      </c>
      <c r="AB35">
        <f t="shared" si="1"/>
        <v>-2.0410958904109591</v>
      </c>
    </row>
    <row r="36" spans="2:28" x14ac:dyDescent="0.25">
      <c r="B36" s="1" t="s">
        <v>91</v>
      </c>
      <c r="C36" s="2">
        <v>43684</v>
      </c>
      <c r="D36">
        <v>0.5</v>
      </c>
      <c r="E36">
        <v>0.5</v>
      </c>
      <c r="F36" s="3">
        <v>26</v>
      </c>
      <c r="T36">
        <v>1</v>
      </c>
      <c r="U36" s="2">
        <v>43325</v>
      </c>
      <c r="V36">
        <v>4.0246406570841904</v>
      </c>
      <c r="W36" s="3">
        <v>1</v>
      </c>
      <c r="X36" s="2">
        <v>44778</v>
      </c>
      <c r="Y36">
        <v>8.0027378507871294</v>
      </c>
      <c r="Z36" t="s">
        <v>100</v>
      </c>
      <c r="AA36">
        <f t="shared" si="0"/>
        <v>2.9972602739726026</v>
      </c>
      <c r="AB36">
        <f t="shared" si="1"/>
        <v>-0.98356164383561639</v>
      </c>
    </row>
    <row r="37" spans="2:28" x14ac:dyDescent="0.25">
      <c r="B37" s="1" t="s">
        <v>91</v>
      </c>
      <c r="C37" s="2">
        <v>43325</v>
      </c>
      <c r="D37">
        <v>0</v>
      </c>
      <c r="E37">
        <v>0</v>
      </c>
      <c r="F37" s="3">
        <v>30</v>
      </c>
      <c r="T37">
        <v>1</v>
      </c>
      <c r="U37" s="2">
        <v>43325</v>
      </c>
      <c r="V37">
        <v>4.0246406570841904</v>
      </c>
      <c r="W37" s="3">
        <v>1</v>
      </c>
      <c r="X37" s="2">
        <v>44778</v>
      </c>
      <c r="Y37">
        <v>8.0027378507871294</v>
      </c>
      <c r="Z37" t="s">
        <v>100</v>
      </c>
      <c r="AA37">
        <f t="shared" si="0"/>
        <v>3.9808219178082194</v>
      </c>
      <c r="AB37">
        <f t="shared" si="1"/>
        <v>0</v>
      </c>
    </row>
    <row r="38" spans="2:28" x14ac:dyDescent="0.25">
      <c r="B38" s="1" t="s">
        <v>91</v>
      </c>
      <c r="C38" s="2">
        <v>42957</v>
      </c>
      <c r="D38">
        <v>0</v>
      </c>
      <c r="E38">
        <v>0</v>
      </c>
      <c r="F38" s="3">
        <v>30</v>
      </c>
      <c r="T38">
        <v>1</v>
      </c>
      <c r="U38" s="2">
        <v>43325</v>
      </c>
      <c r="V38">
        <v>4.0246406570841904</v>
      </c>
      <c r="W38" s="3">
        <v>1</v>
      </c>
      <c r="X38" s="2">
        <v>44778</v>
      </c>
      <c r="Y38">
        <v>8.0027378507871294</v>
      </c>
      <c r="Z38" t="s">
        <v>100</v>
      </c>
      <c r="AA38">
        <f t="shared" si="0"/>
        <v>4.9890410958904106</v>
      </c>
      <c r="AB38">
        <f t="shared" si="1"/>
        <v>1.0082191780821919</v>
      </c>
    </row>
    <row r="39" spans="2:28" x14ac:dyDescent="0.25">
      <c r="B39" s="1" t="s">
        <v>91</v>
      </c>
      <c r="C39" s="2">
        <v>42593</v>
      </c>
      <c r="D39">
        <v>0</v>
      </c>
      <c r="E39">
        <v>0</v>
      </c>
      <c r="F39" s="3">
        <v>28</v>
      </c>
      <c r="T39">
        <v>1</v>
      </c>
      <c r="U39" s="2">
        <v>43325</v>
      </c>
      <c r="V39">
        <v>4.0246406570841904</v>
      </c>
      <c r="W39" s="3">
        <v>1</v>
      </c>
      <c r="X39" s="2">
        <v>44778</v>
      </c>
      <c r="Y39">
        <v>8.0027378507871294</v>
      </c>
      <c r="Z39" t="s">
        <v>100</v>
      </c>
      <c r="AA39">
        <f t="shared" si="0"/>
        <v>5.9863013698630141</v>
      </c>
      <c r="AB39">
        <f t="shared" si="1"/>
        <v>2.0054794520547947</v>
      </c>
    </row>
    <row r="40" spans="2:28" x14ac:dyDescent="0.25">
      <c r="B40" s="1" t="s">
        <v>91</v>
      </c>
      <c r="C40" s="2">
        <v>42222</v>
      </c>
      <c r="D40">
        <v>1</v>
      </c>
      <c r="E40">
        <v>0.5</v>
      </c>
      <c r="F40" s="3">
        <v>29</v>
      </c>
      <c r="T40">
        <v>1</v>
      </c>
      <c r="U40" s="2">
        <v>43325</v>
      </c>
      <c r="V40">
        <v>4.0246406570841904</v>
      </c>
      <c r="W40" s="3">
        <v>1</v>
      </c>
      <c r="X40" s="2">
        <v>44778</v>
      </c>
      <c r="Y40">
        <v>8.0027378507871294</v>
      </c>
      <c r="Z40" t="s">
        <v>100</v>
      </c>
      <c r="AA40">
        <f t="shared" si="0"/>
        <v>7.0027397260273974</v>
      </c>
      <c r="AB40">
        <f t="shared" si="1"/>
        <v>3.021917808219178</v>
      </c>
    </row>
    <row r="41" spans="2:28" x14ac:dyDescent="0.25">
      <c r="B41" s="1" t="s">
        <v>86</v>
      </c>
      <c r="C41" s="2">
        <v>44893</v>
      </c>
      <c r="F41" s="3">
        <v>30</v>
      </c>
      <c r="T41">
        <v>1</v>
      </c>
      <c r="U41" s="2">
        <v>43787</v>
      </c>
      <c r="V41">
        <v>2.0123203285420899</v>
      </c>
      <c r="W41" s="3">
        <v>1</v>
      </c>
      <c r="X41" s="2">
        <v>45278</v>
      </c>
      <c r="Y41">
        <v>6.0944558521560603</v>
      </c>
      <c r="Z41" t="s">
        <v>98</v>
      </c>
      <c r="AA41">
        <f t="shared" si="0"/>
        <v>1.0547945205479452</v>
      </c>
      <c r="AB41">
        <f t="shared" si="1"/>
        <v>-3.0301369863013701</v>
      </c>
    </row>
    <row r="42" spans="2:28" x14ac:dyDescent="0.25">
      <c r="B42" s="1" t="s">
        <v>86</v>
      </c>
      <c r="C42" s="2">
        <v>44480</v>
      </c>
      <c r="D42" t="s">
        <v>32</v>
      </c>
      <c r="E42" t="s">
        <v>32</v>
      </c>
      <c r="F42" s="3">
        <v>30</v>
      </c>
      <c r="T42">
        <v>1</v>
      </c>
      <c r="U42" s="2">
        <v>43787</v>
      </c>
      <c r="V42">
        <v>2.0123203285420899</v>
      </c>
      <c r="W42" s="3">
        <v>1</v>
      </c>
      <c r="X42" s="2">
        <v>45278</v>
      </c>
      <c r="Y42">
        <v>6.0944558521560603</v>
      </c>
      <c r="Z42" t="s">
        <v>98</v>
      </c>
      <c r="AA42">
        <f t="shared" si="0"/>
        <v>2.1863013698630138</v>
      </c>
      <c r="AB42">
        <f t="shared" si="1"/>
        <v>-1.8986301369863015</v>
      </c>
    </row>
    <row r="43" spans="2:28" x14ac:dyDescent="0.25">
      <c r="B43" s="1" t="s">
        <v>86</v>
      </c>
      <c r="C43" s="2">
        <v>44172</v>
      </c>
      <c r="D43">
        <v>0</v>
      </c>
      <c r="E43">
        <v>0</v>
      </c>
      <c r="F43" s="3">
        <v>29</v>
      </c>
      <c r="T43">
        <v>1</v>
      </c>
      <c r="U43" s="2">
        <v>43787</v>
      </c>
      <c r="V43">
        <v>2.0123203285420899</v>
      </c>
      <c r="W43" s="3">
        <v>1</v>
      </c>
      <c r="X43" s="2">
        <v>45278</v>
      </c>
      <c r="Y43">
        <v>6.0944558521560603</v>
      </c>
      <c r="Z43" t="s">
        <v>98</v>
      </c>
      <c r="AA43">
        <f t="shared" si="0"/>
        <v>3.0301369863013701</v>
      </c>
      <c r="AB43">
        <f t="shared" si="1"/>
        <v>-1.0547945205479452</v>
      </c>
    </row>
    <row r="44" spans="2:28" x14ac:dyDescent="0.25">
      <c r="B44" s="1" t="s">
        <v>86</v>
      </c>
      <c r="C44" s="2">
        <v>43787</v>
      </c>
      <c r="D44">
        <v>0</v>
      </c>
      <c r="E44">
        <v>0</v>
      </c>
      <c r="F44" s="3">
        <v>28</v>
      </c>
      <c r="T44">
        <v>1</v>
      </c>
      <c r="U44" s="2">
        <v>43787</v>
      </c>
      <c r="V44">
        <v>2.0123203285420899</v>
      </c>
      <c r="W44" s="3">
        <v>1</v>
      </c>
      <c r="X44" s="2">
        <v>45278</v>
      </c>
      <c r="Y44">
        <v>6.0944558521560603</v>
      </c>
      <c r="Z44" t="s">
        <v>98</v>
      </c>
      <c r="AA44">
        <f t="shared" si="0"/>
        <v>4.0849315068493155</v>
      </c>
      <c r="AB44">
        <f t="shared" si="1"/>
        <v>0</v>
      </c>
    </row>
    <row r="45" spans="2:28" x14ac:dyDescent="0.25">
      <c r="B45" s="1" t="s">
        <v>86</v>
      </c>
      <c r="C45" s="2">
        <v>43416</v>
      </c>
      <c r="D45">
        <v>0</v>
      </c>
      <c r="E45">
        <v>0</v>
      </c>
      <c r="F45" s="3">
        <v>30</v>
      </c>
      <c r="T45">
        <v>1</v>
      </c>
      <c r="U45" s="2">
        <v>43787</v>
      </c>
      <c r="V45">
        <v>2.0123203285420899</v>
      </c>
      <c r="W45" s="3">
        <v>1</v>
      </c>
      <c r="X45" s="2">
        <v>45278</v>
      </c>
      <c r="Y45">
        <v>6.0944558521560603</v>
      </c>
      <c r="Z45" t="s">
        <v>98</v>
      </c>
      <c r="AA45">
        <f t="shared" si="0"/>
        <v>5.1013698630136988</v>
      </c>
      <c r="AB45">
        <f t="shared" si="1"/>
        <v>1.0164383561643835</v>
      </c>
    </row>
    <row r="46" spans="2:28" x14ac:dyDescent="0.25">
      <c r="B46" s="1" t="s">
        <v>92</v>
      </c>
      <c r="C46" s="2">
        <v>44820</v>
      </c>
      <c r="D46">
        <v>0.5</v>
      </c>
      <c r="E46">
        <v>0.5</v>
      </c>
      <c r="F46" s="3">
        <v>27</v>
      </c>
      <c r="T46">
        <v>1</v>
      </c>
      <c r="U46" s="2">
        <v>45195</v>
      </c>
      <c r="V46">
        <v>5.0951403148528396</v>
      </c>
      <c r="W46" s="3">
        <v>1</v>
      </c>
      <c r="X46" s="2">
        <v>45195</v>
      </c>
      <c r="Y46">
        <v>5.0951403148528396</v>
      </c>
      <c r="Z46" t="s">
        <v>101</v>
      </c>
      <c r="AA46">
        <f t="shared" si="0"/>
        <v>1.0273972602739727</v>
      </c>
      <c r="AB46">
        <f t="shared" si="1"/>
        <v>1.0273972602739727</v>
      </c>
    </row>
    <row r="47" spans="2:28" x14ac:dyDescent="0.25">
      <c r="B47" s="1" t="s">
        <v>92</v>
      </c>
      <c r="C47" s="2">
        <v>44448</v>
      </c>
      <c r="D47">
        <v>3.5</v>
      </c>
      <c r="E47">
        <v>0.5</v>
      </c>
      <c r="F47" s="3">
        <v>28</v>
      </c>
      <c r="T47">
        <v>1</v>
      </c>
      <c r="U47" s="2">
        <v>45195</v>
      </c>
      <c r="V47">
        <v>5.0951403148528396</v>
      </c>
      <c r="W47" s="3">
        <v>1</v>
      </c>
      <c r="X47" s="2">
        <v>45195</v>
      </c>
      <c r="Y47">
        <v>5.0951403148528396</v>
      </c>
      <c r="Z47" t="s">
        <v>101</v>
      </c>
      <c r="AA47">
        <f t="shared" si="0"/>
        <v>2.0465753424657533</v>
      </c>
      <c r="AB47">
        <f t="shared" si="1"/>
        <v>2.0465753424657533</v>
      </c>
    </row>
    <row r="48" spans="2:28" x14ac:dyDescent="0.25">
      <c r="B48" s="1" t="s">
        <v>92</v>
      </c>
      <c r="C48" s="2">
        <v>44092</v>
      </c>
      <c r="D48">
        <v>0.5</v>
      </c>
      <c r="E48">
        <v>0.5</v>
      </c>
      <c r="F48" s="3">
        <v>27</v>
      </c>
      <c r="T48">
        <v>1</v>
      </c>
      <c r="U48" s="2">
        <v>45195</v>
      </c>
      <c r="V48">
        <v>5.0951403148528396</v>
      </c>
      <c r="W48" s="3">
        <v>1</v>
      </c>
      <c r="X48" s="2">
        <v>45195</v>
      </c>
      <c r="Y48">
        <v>5.0951403148528396</v>
      </c>
      <c r="Z48" t="s">
        <v>101</v>
      </c>
      <c r="AA48">
        <f t="shared" si="0"/>
        <v>3.021917808219178</v>
      </c>
      <c r="AB48">
        <f t="shared" si="1"/>
        <v>3.021917808219178</v>
      </c>
    </row>
    <row r="49" spans="2:28" x14ac:dyDescent="0.25">
      <c r="B49" s="1" t="s">
        <v>92</v>
      </c>
      <c r="C49" s="2">
        <v>43689</v>
      </c>
      <c r="D49">
        <v>0.5</v>
      </c>
      <c r="E49">
        <v>0.5</v>
      </c>
      <c r="F49" s="3">
        <v>29</v>
      </c>
      <c r="T49">
        <v>1</v>
      </c>
      <c r="U49" s="2">
        <v>45195</v>
      </c>
      <c r="V49">
        <v>5.0951403148528396</v>
      </c>
      <c r="W49" s="3">
        <v>1</v>
      </c>
      <c r="X49" s="2">
        <v>45195</v>
      </c>
      <c r="Y49">
        <v>5.0951403148528396</v>
      </c>
      <c r="Z49" t="s">
        <v>101</v>
      </c>
      <c r="AA49">
        <f t="shared" si="0"/>
        <v>4.1260273972602741</v>
      </c>
      <c r="AB49">
        <f t="shared" si="1"/>
        <v>4.1260273972602741</v>
      </c>
    </row>
  </sheetData>
  <autoFilter ref="B1:AB49" xr:uid="{E20E1003-26E1-4269-B159-F12652582F9B}">
    <sortState xmlns:xlrd2="http://schemas.microsoft.com/office/spreadsheetml/2017/richdata2" ref="B2:AB49">
      <sortCondition ref="B1:B49"/>
    </sortState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allConverters_MCIvisits</vt:lpstr>
      <vt:lpstr>allConverters_MCIvisitsfiltered</vt:lpstr>
      <vt:lpstr>Converter_BaselineMCI_followups</vt:lpstr>
      <vt:lpstr>Conv_followupMCI_followups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Schmitt, Fabian</dc:creator>
  <cp:lastModifiedBy>Schmitt, Fabian</cp:lastModifiedBy>
  <dcterms:created xsi:type="dcterms:W3CDTF">2025-11-28T15:41:39Z</dcterms:created>
  <dcterms:modified xsi:type="dcterms:W3CDTF">2025-12-09T13:19:30Z</dcterms:modified>
</cp:coreProperties>
</file>